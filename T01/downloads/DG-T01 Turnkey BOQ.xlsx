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1" t="inlineStr">
        <is>
          <t>DG-T01 Type 01 - Brick single garage - turnkey kit price + BOQ (Leeds / Yorkshire, ex VAT)</t>
        </is>
      </c>
    </row>
    <row r="2" ht="45" customHeight="1">
      <c r="A2" s="2" t="inlineStr">
        <is>
          <t>SUPPLY SCOPE: the Nudura ICF formwork + accessories (section A) are our FIXED price. Every other package (section B) is the turnkey-kit BOQ at indicative Leeds / Yorkshire Q4 2026 rates - supplied in good faith, every rate editable, to be checked by the relevant professional and priced by the contractor. All figures ex VAT unless stated. QUOTATION - NOT FOR CONSTRUCTION.</t>
        </is>
      </c>
    </row>
    <row r="4">
      <c r="A4" t="inlineStr">
        <is>
          <t>Labour rate GBP/h</t>
        </is>
      </c>
      <c r="B4" s="3" t="n">
        <v>34</v>
      </c>
    </row>
    <row r="5">
      <c r="A5" t="inlineStr">
        <is>
          <t>OH&amp;P %</t>
        </is>
      </c>
      <c r="B5" s="3" t="n">
        <v>15</v>
      </c>
    </row>
    <row r="6">
      <c r="A6" t="inlineStr">
        <is>
          <t>Contingency %</t>
        </is>
      </c>
      <c r="B6" s="3" t="n">
        <v>10</v>
      </c>
    </row>
    <row r="7">
      <c r="A7" t="inlineStr">
        <is>
          <t>VAT %</t>
        </is>
      </c>
      <c r="B7" s="3" t="n">
        <v>20</v>
      </c>
    </row>
    <row r="9">
      <c r="A9" s="4" t="inlineStr">
        <is>
          <t>A. NUDURA SUPPLY - FIXED PRICE (BuildEase / Tremco CPG)</t>
        </is>
      </c>
    </row>
    <row r="10">
      <c r="A10" s="5" t="inlineStr">
        <is>
          <t>Item</t>
        </is>
      </c>
      <c r="B10" s="5" t="inlineStr">
        <is>
          <t>SKU</t>
        </is>
      </c>
      <c r="C10" s="5" t="inlineStr">
        <is>
          <t>Qty</t>
        </is>
      </c>
      <c r="D10" s="5" t="inlineStr">
        <is>
          <t>Unit</t>
        </is>
      </c>
      <c r="E10" s="5" t="inlineStr">
        <is>
          <t>Order</t>
        </is>
      </c>
      <c r="F10" s="5" t="inlineStr">
        <is>
          <t>Rate</t>
        </is>
      </c>
      <c r="G10" s="5" t="inlineStr">
        <is>
          <t>Per</t>
        </is>
      </c>
      <c r="H10" s="5" t="inlineStr">
        <is>
          <t>Total</t>
        </is>
      </c>
      <c r="I10" s="5" t="inlineStr">
        <is>
          <t>Note</t>
        </is>
      </c>
    </row>
    <row r="11">
      <c r="A11" t="inlineStr">
        <is>
          <t>Nudura 6in Standard straight form (pre-cut)</t>
        </is>
      </c>
      <c r="B11" t="inlineStr">
        <is>
          <t>NUS-I0096-06-PC</t>
        </is>
      </c>
      <c r="C11" s="6" t="n">
        <v>42</v>
      </c>
      <c r="D11" t="inlineStr">
        <is>
          <t>nr</t>
        </is>
      </c>
      <c r="E11" t="inlineStr">
        <is>
          <t>14 x 3</t>
        </is>
      </c>
      <c r="F11" s="6" t="n">
        <v>149.37</v>
      </c>
      <c r="G11" t="inlineStr">
        <is>
          <t>box of 3</t>
        </is>
      </c>
      <c r="H11" s="6" t="n">
        <v>2091.18</v>
      </c>
      <c r="I11" t="inlineStr">
        <is>
          <t>every form from the populated model, Nudura Bond, no stack joints</t>
        </is>
      </c>
    </row>
    <row r="12">
      <c r="A12" t="inlineStr">
        <is>
          <t>Nudura 6in Standard 90 deg corner form (pre-cut)</t>
        </is>
      </c>
      <c r="B12" t="inlineStr">
        <is>
          <t>NUS-I0090-06-PC</t>
        </is>
      </c>
      <c r="C12" s="6" t="n">
        <v>20</v>
      </c>
      <c r="D12" t="inlineStr">
        <is>
          <t>nr</t>
        </is>
      </c>
      <c r="E12" t="inlineStr">
        <is>
          <t>4 x 6</t>
        </is>
      </c>
      <c r="F12" s="6" t="n">
        <v>154.41</v>
      </c>
      <c r="G12" t="inlineStr">
        <is>
          <t>box of 6</t>
        </is>
      </c>
      <c r="H12" s="6" t="n">
        <v>617.64</v>
      </c>
      <c r="I12" t="inlineStr"/>
    </row>
    <row r="13">
      <c r="A13" t="inlineStr">
        <is>
          <t>End caps 152 mm (6in) - opening jambs</t>
        </is>
      </c>
      <c r="B13" t="inlineStr">
        <is>
          <t>NUS-A0ECF-06</t>
        </is>
      </c>
      <c r="C13" s="6" t="n">
        <v>24</v>
      </c>
      <c r="D13" t="inlineStr">
        <is>
          <t>nr</t>
        </is>
      </c>
      <c r="E13" t="inlineStr">
        <is>
          <t>1 x 40</t>
        </is>
      </c>
      <c r="F13" s="6" t="n">
        <v>105.84</v>
      </c>
      <c r="G13" t="inlineStr">
        <is>
          <t>box of 40</t>
        </is>
      </c>
      <c r="H13" s="6" t="n">
        <v>105.84</v>
      </c>
      <c r="I13" t="inlineStr"/>
    </row>
    <row r="14">
      <c r="A14" t="inlineStr">
        <is>
          <t>Lintel closures 152 mm (6in) - heads + sills</t>
        </is>
      </c>
      <c r="B14" t="inlineStr">
        <is>
          <t>NUS-PLINT-06</t>
        </is>
      </c>
      <c r="C14" s="6" t="n">
        <v>24</v>
      </c>
      <c r="D14" t="inlineStr">
        <is>
          <t>nr</t>
        </is>
      </c>
      <c r="E14" t="inlineStr">
        <is>
          <t>1 x 60</t>
        </is>
      </c>
      <c r="F14" s="6" t="n">
        <v>181.44</v>
      </c>
      <c r="G14" t="inlineStr">
        <is>
          <t>box of 60</t>
        </is>
      </c>
      <c r="H14" s="6" t="n">
        <v>181.44</v>
      </c>
      <c r="I14" t="inlineStr">
        <is>
          <t>3 per lintel piece</t>
        </is>
      </c>
    </row>
    <row r="15">
      <c r="A15" t="inlineStr">
        <is>
          <t>Spray foam (1 can per 22 forms)</t>
        </is>
      </c>
      <c r="B15" t="inlineStr">
        <is>
          <t>NUS-SF-BOX</t>
        </is>
      </c>
      <c r="C15" s="6" t="n">
        <v>3</v>
      </c>
      <c r="D15" t="inlineStr">
        <is>
          <t>nr</t>
        </is>
      </c>
      <c r="E15" t="inlineStr">
        <is>
          <t>1 x 12</t>
        </is>
      </c>
      <c r="F15" s="6" t="n">
        <v>75.59999999999999</v>
      </c>
      <c r="G15" t="inlineStr">
        <is>
          <t>box of 12</t>
        </is>
      </c>
      <c r="H15" s="6" t="n">
        <v>75.59999999999999</v>
      </c>
      <c r="I15" t="inlineStr"/>
    </row>
    <row r="16">
      <c r="A16" t="inlineStr">
        <is>
          <t>Fibre tape (1 roll per 50 forms)</t>
        </is>
      </c>
      <c r="B16" t="inlineStr">
        <is>
          <t>NUS-FT-BOX</t>
        </is>
      </c>
      <c r="C16" s="6" t="n">
        <v>2</v>
      </c>
      <c r="D16" t="inlineStr">
        <is>
          <t>nr</t>
        </is>
      </c>
      <c r="E16" t="inlineStr">
        <is>
          <t>1 x 10</t>
        </is>
      </c>
      <c r="F16" s="6" t="n">
        <v>52.5</v>
      </c>
      <c r="G16" t="inlineStr">
        <is>
          <t>box of 10</t>
        </is>
      </c>
      <c r="H16" s="6" t="n">
        <v>52.5</v>
      </c>
      <c r="I16" t="inlineStr"/>
    </row>
    <row r="17">
      <c r="A17" t="inlineStr">
        <is>
          <t>Protective tape</t>
        </is>
      </c>
      <c r="B17" t="inlineStr">
        <is>
          <t>NUS-PT-BOX</t>
        </is>
      </c>
      <c r="C17" s="6" t="n">
        <v>1</v>
      </c>
      <c r="D17" t="inlineStr">
        <is>
          <t>nr</t>
        </is>
      </c>
      <c r="E17" t="inlineStr">
        <is>
          <t>1 x 4</t>
        </is>
      </c>
      <c r="F17" s="6" t="n">
        <v>33.6</v>
      </c>
      <c r="G17" t="inlineStr">
        <is>
          <t>box of 4</t>
        </is>
      </c>
      <c r="H17" s="6" t="n">
        <v>33.6</v>
      </c>
      <c r="I17" t="inlineStr"/>
    </row>
    <row r="18">
      <c r="A18" t="inlineStr">
        <is>
          <t>Bracing + alignment hire (1 stillage x 4 wk)</t>
        </is>
      </c>
      <c r="B18" t="inlineStr">
        <is>
          <t>ALIGN</t>
        </is>
      </c>
      <c r="C18" s="6" t="n">
        <v>1</v>
      </c>
      <c r="D18" t="inlineStr">
        <is>
          <t>stillage</t>
        </is>
      </c>
      <c r="E18" t="inlineStr">
        <is>
          <t>4 weeks</t>
        </is>
      </c>
      <c r="F18" s="6" t="n">
        <v>320</v>
      </c>
      <c r="G18" t="inlineStr">
        <is>
          <t>stillage</t>
        </is>
      </c>
      <c r="H18" s="6" t="n">
        <v>320</v>
      </c>
      <c r="I18" t="inlineStr">
        <is>
          <t>returned at the end of hire</t>
        </is>
      </c>
    </row>
    <row r="19">
      <c r="A19" t="inlineStr">
        <is>
          <t>BuildEase pre-cut service (setup + per form + cuts)</t>
        </is>
      </c>
      <c r="B19" t="inlineStr">
        <is>
          <t>PRECUT</t>
        </is>
      </c>
      <c r="C19" s="6" t="n">
        <v>62</v>
      </c>
      <c r="D19" t="inlineStr">
        <is>
          <t>forms</t>
        </is>
      </c>
      <c r="E19" t="inlineStr">
        <is>
          <t>36 cut forms</t>
        </is>
      </c>
      <c r="G19" t="inlineStr"/>
      <c r="H19" s="6" t="n">
        <v>417</v>
      </c>
      <c r="I19" t="inlineStr">
        <is>
          <t>GBP 350 setup + 0.50 / form + GBP 1 / m cut (standard type - modelling included)</t>
        </is>
      </c>
    </row>
    <row r="20">
      <c r="A20" t="inlineStr">
        <is>
          <t>Haulage - Tankersley S75 3DH to Leeds (&lt;= 40 miles, 1 artic)</t>
        </is>
      </c>
      <c r="B20" t="inlineStr">
        <is>
          <t>HAUL</t>
        </is>
      </c>
      <c r="C20" s="6" t="n">
        <v>1</v>
      </c>
      <c r="D20" t="inlineStr">
        <is>
          <t>load</t>
        </is>
      </c>
      <c r="E20" t="inlineStr"/>
      <c r="F20" s="6" t="n">
        <v>335.27</v>
      </c>
      <c r="G20" t="inlineStr">
        <is>
          <t>load</t>
        </is>
      </c>
      <c r="H20" s="6" t="n">
        <v>335.27</v>
      </c>
      <c r="I20" t="inlineStr"/>
    </row>
    <row r="21">
      <c r="G21" s="4" t="inlineStr">
        <is>
          <t>Supply total</t>
        </is>
      </c>
      <c r="H21" s="7">
        <f>SUM(H11:H20)</f>
        <v/>
      </c>
    </row>
    <row r="22"/>
    <row r="23">
      <c r="A23" s="4" t="inlineStr">
        <is>
          <t>B. TURNKEY-KIT BOQ - rates editable (yellow)</t>
        </is>
      </c>
    </row>
    <row r="24">
      <c r="A24" s="5" t="inlineStr">
        <is>
          <t>Section</t>
        </is>
      </c>
      <c r="B24" s="5" t="inlineStr">
        <is>
          <t>Item</t>
        </is>
      </c>
      <c r="C24" s="5" t="inlineStr">
        <is>
          <t>Qty</t>
        </is>
      </c>
      <c r="D24" s="5" t="inlineStr">
        <is>
          <t>Unit</t>
        </is>
      </c>
      <c r="E24" s="5" t="inlineStr">
        <is>
          <t>Material rate</t>
        </is>
      </c>
      <c r="F24" s="5" t="inlineStr">
        <is>
          <t>Labour h / unit</t>
        </is>
      </c>
      <c r="G24" s="5" t="inlineStr">
        <is>
          <t>Material</t>
        </is>
      </c>
      <c r="H24" s="5" t="inlineStr">
        <is>
          <t>Labour</t>
        </is>
      </c>
      <c r="I24" s="5" t="inlineStr">
        <is>
          <t>Total</t>
        </is>
      </c>
      <c r="J24" s="5" t="inlineStr">
        <is>
          <t>Source / note</t>
        </is>
      </c>
    </row>
    <row r="25">
      <c r="A25" t="inlineStr">
        <is>
          <t>1 Preliminaries</t>
        </is>
      </c>
      <c r="B25" t="inlineStr">
        <is>
          <t>Site setup, welfare, skip, setting out</t>
        </is>
      </c>
      <c r="C25" s="8" t="n">
        <v>1</v>
      </c>
      <c r="D25" t="inlineStr">
        <is>
          <t>item</t>
        </is>
      </c>
      <c r="E25" s="8" t="n">
        <v>650</v>
      </c>
      <c r="F25" s="8" t="n">
        <v>8</v>
      </c>
      <c r="G25" s="6">
        <f>C25*E25</f>
        <v/>
      </c>
      <c r="H25" s="6">
        <f>C25*F25*$B$4</f>
        <v/>
      </c>
      <c r="I25" s="6">
        <f>G25+H25</f>
        <v/>
      </c>
      <c r="J25" t="inlineStr">
        <is>
          <t>NGR prelims 950 - site setup, welfare, skip, setting out (single garage)</t>
        </is>
      </c>
    </row>
    <row r="26">
      <c r="A26" t="inlineStr">
        <is>
          <t>1 Preliminaries</t>
        </is>
      </c>
      <c r="B26" t="inlineStr">
        <is>
          <t>Access scaffold / towers</t>
        </is>
      </c>
      <c r="C26" s="8" t="n">
        <v>1</v>
      </c>
      <c r="D26" t="inlineStr">
        <is>
          <t>item</t>
        </is>
      </c>
      <c r="E26" s="8" t="n">
        <v>480</v>
      </c>
      <c r="F26" s="8" t="n">
        <v>4</v>
      </c>
      <c r="G26" s="6">
        <f>C26*E26</f>
        <v/>
      </c>
      <c r="H26" s="6">
        <f>C26*F26*$B$4</f>
        <v/>
      </c>
      <c r="I26" s="6">
        <f>G26+H26</f>
        <v/>
      </c>
      <c r="J26" t="inlineStr">
        <is>
          <t>MKT tower / trestle hire 4 wk, single storey</t>
        </is>
      </c>
    </row>
    <row r="27">
      <c r="A27" t="inlineStr">
        <is>
          <t>2 Below ground</t>
        </is>
      </c>
      <c r="B27" t="inlineStr">
        <is>
          <t>Excavate raft + thickened edge (reduce level 350 + edge 250)</t>
        </is>
      </c>
      <c r="C27" s="8" t="n">
        <v>10.65</v>
      </c>
      <c r="D27" t="inlineStr">
        <is>
          <t>m3</t>
        </is>
      </c>
      <c r="E27" s="8" t="n">
        <v>18</v>
      </c>
      <c r="F27" s="8" t="n">
        <v>0.35</v>
      </c>
      <c r="G27" s="6">
        <f>C27*E27</f>
        <v/>
      </c>
      <c r="H27" s="6">
        <f>C27*F27*$B$4</f>
        <v/>
      </c>
      <c r="I27" s="6">
        <f>G27+H27</f>
        <v/>
      </c>
      <c r="J27" t="inlineStr">
        <is>
          <t>NGR dig 32/m3 split plant / labour</t>
        </is>
      </c>
    </row>
    <row r="28">
      <c r="A28" t="inlineStr">
        <is>
          <t>2 Below ground</t>
        </is>
      </c>
      <c r="B28" t="inlineStr">
        <is>
          <t>Muck away (bulked x1.25)</t>
        </is>
      </c>
      <c r="C28" s="8" t="n">
        <v>13.32</v>
      </c>
      <c r="D28" t="inlineStr">
        <is>
          <t>m3</t>
        </is>
      </c>
      <c r="E28" s="8" t="n">
        <v>52</v>
      </c>
      <c r="F28" s="8" t="n">
        <v>0</v>
      </c>
      <c r="G28" s="6">
        <f>C28*E28</f>
        <v/>
      </c>
      <c r="H28" s="6">
        <f>C28*F28*$B$4</f>
        <v/>
      </c>
      <c r="I28" s="6">
        <f>G28+H28</f>
        <v/>
      </c>
      <c r="J28" t="inlineStr">
        <is>
          <t>NGR</t>
        </is>
      </c>
    </row>
    <row r="29">
      <c r="A29" t="inlineStr">
        <is>
          <t>2 Below ground</t>
        </is>
      </c>
      <c r="B29" t="inlineStr">
        <is>
          <t>RWG drainage - short run to soakaway / connection</t>
        </is>
      </c>
      <c r="C29" s="8" t="n">
        <v>1</v>
      </c>
      <c r="D29" t="inlineStr">
        <is>
          <t>item</t>
        </is>
      </c>
      <c r="E29" s="8" t="n">
        <v>420</v>
      </c>
      <c r="F29" s="8" t="n">
        <v>10</v>
      </c>
      <c r="G29" s="6">
        <f>C29*E29</f>
        <v/>
      </c>
      <c r="H29" s="6">
        <f>C29*F29*$B$4</f>
        <v/>
      </c>
      <c r="I29" s="6">
        <f>G29+H29</f>
        <v/>
      </c>
      <c r="J29" t="inlineStr">
        <is>
          <t>MKT RWG to soakaway / short connection</t>
        </is>
      </c>
    </row>
    <row r="30">
      <c r="A30" t="inlineStr">
        <is>
          <t>3 Footings + substructure</t>
        </is>
      </c>
      <c r="B30" t="inlineStr">
        <is>
          <t>MOT Type 1 hardcore 150, compacted</t>
        </is>
      </c>
      <c r="C30" s="8" t="n">
        <v>1.78</v>
      </c>
      <c r="D30" t="inlineStr">
        <is>
          <t>m3</t>
        </is>
      </c>
      <c r="E30" s="8" t="n">
        <v>48</v>
      </c>
      <c r="F30" s="8" t="n">
        <v>0.5</v>
      </c>
      <c r="G30" s="6">
        <f>C30*E30</f>
        <v/>
      </c>
      <c r="H30" s="6">
        <f>C30*F30*$B$4</f>
        <v/>
      </c>
      <c r="I30" s="6">
        <f>G30+H30</f>
        <v/>
      </c>
      <c r="J30" t="inlineStr">
        <is>
          <t>NGR MOT Type 1</t>
        </is>
      </c>
    </row>
    <row r="31">
      <c r="A31" t="inlineStr">
        <is>
          <t>3 Footings + substructure</t>
        </is>
      </c>
      <c r="B31" t="inlineStr">
        <is>
          <t>Sand blinding + 1200g DPM</t>
        </is>
      </c>
      <c r="C31" s="8" t="n">
        <v>24.32</v>
      </c>
      <c r="D31" t="inlineStr">
        <is>
          <t>m2</t>
        </is>
      </c>
      <c r="E31" s="8" t="n">
        <v>5.3</v>
      </c>
      <c r="F31" s="8" t="n">
        <v>0.06</v>
      </c>
      <c r="G31" s="6">
        <f>C31*E31</f>
        <v/>
      </c>
      <c r="H31" s="6">
        <f>C31*F31*$B$4</f>
        <v/>
      </c>
      <c r="I31" s="6">
        <f>G31+H31</f>
        <v/>
      </c>
      <c r="J31" t="inlineStr">
        <is>
          <t>NGR DPM 1.8 + sand blinding 3.5</t>
        </is>
      </c>
    </row>
    <row r="32">
      <c r="A32" t="inlineStr">
        <is>
          <t>3 Footings + substructure</t>
        </is>
      </c>
      <c r="B32" t="inlineStr">
        <is>
          <t>A393 mesh top + bottom (laps incl.)</t>
        </is>
      </c>
      <c r="C32" s="8" t="n">
        <v>6</v>
      </c>
      <c r="D32" t="inlineStr">
        <is>
          <t>sheet</t>
        </is>
      </c>
      <c r="E32" s="8" t="n">
        <v>70</v>
      </c>
      <c r="F32" s="8" t="n">
        <v>0.35</v>
      </c>
      <c r="G32" s="6">
        <f>C32*E32</f>
        <v/>
      </c>
      <c r="H32" s="6">
        <f>C32*F32*$B$4</f>
        <v/>
      </c>
      <c r="I32" s="6">
        <f>G32+H32</f>
        <v/>
      </c>
      <c r="J32" t="inlineStr">
        <is>
          <t>NGR A393 4.8 x 2.4</t>
        </is>
      </c>
    </row>
    <row r="33">
      <c r="A33" t="inlineStr">
        <is>
          <t>3 Footings + substructure</t>
        </is>
      </c>
      <c r="B33" t="inlineStr">
        <is>
          <t>Starter bars T12 @ 600 into the ICF + edge bars</t>
        </is>
      </c>
      <c r="C33" s="8" t="n">
        <v>0.1</v>
      </c>
      <c r="D33" t="inlineStr">
        <is>
          <t>t</t>
        </is>
      </c>
      <c r="E33" s="8" t="n">
        <v>1250</v>
      </c>
      <c r="F33" s="8" t="n">
        <v>28</v>
      </c>
      <c r="G33" s="6">
        <f>C33*E33</f>
        <v/>
      </c>
      <c r="H33" s="6">
        <f>C33*F33*$B$4</f>
        <v/>
      </c>
      <c r="I33" s="6">
        <f>G33+H33</f>
        <v/>
      </c>
      <c r="J33" t="inlineStr">
        <is>
          <t>NGR rebar + fixing 28 h/t</t>
        </is>
      </c>
    </row>
    <row r="34">
      <c r="A34" t="inlineStr">
        <is>
          <t>3 Footings + substructure</t>
        </is>
      </c>
      <c r="B34" t="inlineStr">
        <is>
          <t>C32/40 raft concrete 200 + thickened edge</t>
        </is>
      </c>
      <c r="C34" s="8" t="n">
        <v>6.98</v>
      </c>
      <c r="D34" t="inlineStr">
        <is>
          <t>m3</t>
        </is>
      </c>
      <c r="E34" s="8" t="n">
        <v>152</v>
      </c>
      <c r="F34" s="8" t="n">
        <v>1.2</v>
      </c>
      <c r="G34" s="6">
        <f>C34*E34</f>
        <v/>
      </c>
      <c r="H34" s="6">
        <f>C34*F34*$B$4</f>
        <v/>
      </c>
      <c r="I34" s="6">
        <f>G34+H34</f>
        <v/>
      </c>
      <c r="J34" t="inlineStr">
        <is>
          <t>NGR C32/40</t>
        </is>
      </c>
    </row>
    <row r="35">
      <c r="A35" t="inlineStr">
        <is>
          <t>3 Footings + substructure</t>
        </is>
      </c>
      <c r="B35" t="inlineStr">
        <is>
          <t>Concrete pump - raft pour</t>
        </is>
      </c>
      <c r="C35" s="8" t="n">
        <v>1</v>
      </c>
      <c r="D35" t="inlineStr">
        <is>
          <t>pour</t>
        </is>
      </c>
      <c r="E35" s="8" t="n">
        <v>650</v>
      </c>
      <c r="F35" s="8" t="n">
        <v>0</v>
      </c>
      <c r="G35" s="6">
        <f>C35*E35</f>
        <v/>
      </c>
      <c r="H35" s="6">
        <f>C35*F35*$B$4</f>
        <v/>
      </c>
      <c r="I35" s="6">
        <f>G35+H35</f>
        <v/>
      </c>
      <c r="J35" t="inlineStr">
        <is>
          <t>NGR concrete pump per pour</t>
        </is>
      </c>
    </row>
    <row r="36">
      <c r="A36" t="inlineStr">
        <is>
          <t>3 Footings + substructure</t>
        </is>
      </c>
      <c r="B36" t="inlineStr">
        <is>
          <t>Power float finish (garage floor, fall to the door)</t>
        </is>
      </c>
      <c r="C36" s="8" t="n">
        <v>22.11</v>
      </c>
      <c r="D36" t="inlineStr">
        <is>
          <t>m2</t>
        </is>
      </c>
      <c r="E36" s="8" t="n">
        <v>1.5</v>
      </c>
      <c r="F36" s="8" t="n">
        <v>0.08</v>
      </c>
      <c r="G36" s="6">
        <f>C36*E36</f>
        <v/>
      </c>
      <c r="H36" s="6">
        <f>C36*F36*$B$4</f>
        <v/>
      </c>
      <c r="I36" s="6">
        <f>G36+H36</f>
        <v/>
      </c>
      <c r="J36" t="inlineStr">
        <is>
          <t>MKT</t>
        </is>
      </c>
    </row>
    <row r="37">
      <c r="A37" t="inlineStr">
        <is>
          <t>4 ICF walls</t>
        </is>
      </c>
      <c r="B37" t="inlineStr">
        <is>
          <t>Erect the Nudura forms (62 forms), bracing + alignment, openings</t>
        </is>
      </c>
      <c r="C37" s="8" t="n">
        <v>62</v>
      </c>
      <c r="D37" t="inlineStr">
        <is>
          <t>form</t>
        </is>
      </c>
      <c r="E37" s="8" t="n">
        <v>0</v>
      </c>
      <c r="F37" s="8" t="n">
        <v>0.215</v>
      </c>
      <c r="G37" s="6">
        <f>C37*E37</f>
        <v/>
      </c>
      <c r="H37" s="6">
        <f>C37*F37*$B$4</f>
        <v/>
      </c>
      <c r="I37" s="6">
        <f>G37+H37</f>
        <v/>
      </c>
      <c r="J37" t="inlineStr">
        <is>
          <t>BOQ Builder 4.3 min per block x 3-man gang</t>
        </is>
      </c>
    </row>
    <row r="38">
      <c r="A38" t="inlineStr">
        <is>
          <t>4 ICF walls</t>
        </is>
      </c>
      <c r="B38" t="inlineStr">
        <is>
          <t>Wall reinforcement T12 (vertical @ 600, horizontal alternate courses) + lintel bars</t>
        </is>
      </c>
      <c r="C38" s="8" t="n">
        <v>0.17</v>
      </c>
      <c r="D38" t="inlineStr">
        <is>
          <t>t</t>
        </is>
      </c>
      <c r="E38" s="8" t="n">
        <v>1250</v>
      </c>
      <c r="F38" s="8" t="n">
        <v>28</v>
      </c>
      <c r="G38" s="6">
        <f>C38*E38</f>
        <v/>
      </c>
      <c r="H38" s="6">
        <f>C38*F38*$B$4</f>
        <v/>
      </c>
      <c r="I38" s="6">
        <f>G38+H38</f>
        <v/>
      </c>
      <c r="J38" t="inlineStr">
        <is>
          <t>NGR rebar + fixing 28 h/t</t>
        </is>
      </c>
    </row>
    <row r="39">
      <c r="A39" t="inlineStr">
        <is>
          <t>4 ICF walls</t>
        </is>
      </c>
      <c r="B39" t="inlineStr">
        <is>
          <t>C32/40 core concrete 6in (pumped, 3 lifts)</t>
        </is>
      </c>
      <c r="C39" s="8" t="n">
        <v>5.96</v>
      </c>
      <c r="D39" t="inlineStr">
        <is>
          <t>m3</t>
        </is>
      </c>
      <c r="E39" s="8" t="n">
        <v>152</v>
      </c>
      <c r="F39" s="8" t="n">
        <v>1.2</v>
      </c>
      <c r="G39" s="6">
        <f>C39*E39</f>
        <v/>
      </c>
      <c r="H39" s="6">
        <f>C39*F39*$B$4</f>
        <v/>
      </c>
      <c r="I39" s="6">
        <f>G39+H39</f>
        <v/>
      </c>
      <c r="J39" t="inlineStr">
        <is>
          <t>NGR C32/40 + pour 1.2 h/m3</t>
        </is>
      </c>
    </row>
    <row r="40">
      <c r="A40" t="inlineStr">
        <is>
          <t>4 ICF walls</t>
        </is>
      </c>
      <c r="B40" t="inlineStr">
        <is>
          <t>Concrete pump - wall pour</t>
        </is>
      </c>
      <c r="C40" s="8" t="n">
        <v>1</v>
      </c>
      <c r="D40" t="inlineStr">
        <is>
          <t>pour</t>
        </is>
      </c>
      <c r="E40" s="8" t="n">
        <v>650</v>
      </c>
      <c r="F40" s="8" t="n">
        <v>0</v>
      </c>
      <c r="G40" s="6">
        <f>C40*E40</f>
        <v/>
      </c>
      <c r="H40" s="6">
        <f>C40*F40*$B$4</f>
        <v/>
      </c>
      <c r="I40" s="6">
        <f>G40+H40</f>
        <v/>
      </c>
      <c r="J40" t="inlineStr">
        <is>
          <t>NGR concrete pump per pour</t>
        </is>
      </c>
    </row>
    <row r="41">
      <c r="A41" t="inlineStr">
        <is>
          <t>4 ICF walls</t>
        </is>
      </c>
      <c r="B41" t="inlineStr">
        <is>
          <t>Timber wall plate 47 x 150 on the eaves walls + straps</t>
        </is>
      </c>
      <c r="C41" s="8" t="n">
        <v>12.15</v>
      </c>
      <c r="D41" t="inlineStr">
        <is>
          <t>m</t>
        </is>
      </c>
      <c r="E41" s="8" t="n">
        <v>5.6</v>
      </c>
      <c r="F41" s="8" t="n">
        <v>0.25</v>
      </c>
      <c r="G41" s="6">
        <f>C41*E41</f>
        <v/>
      </c>
      <c r="H41" s="6">
        <f>C41*F41*$B$4</f>
        <v/>
      </c>
      <c r="I41" s="6">
        <f>G41+H41</f>
        <v/>
      </c>
      <c r="J41" t="inlineStr">
        <is>
          <t>NGR C24 47x150 4.25/m + straps / anchors</t>
        </is>
      </c>
    </row>
    <row r="42">
      <c r="A42" t="inlineStr">
        <is>
          <t>5 Roof structure</t>
        </is>
      </c>
      <c r="B42" t="inlineStr">
        <is>
          <t>Trussed rafters (fink) @600, span 3.64 m</t>
        </is>
      </c>
      <c r="C42" s="8" t="n">
        <v>10</v>
      </c>
      <c r="D42" t="inlineStr">
        <is>
          <t>nr</t>
        </is>
      </c>
      <c r="E42" s="8" t="n">
        <v>114.41</v>
      </c>
      <c r="F42" s="8" t="n">
        <v>0.75</v>
      </c>
      <c r="G42" s="6">
        <f>C42*E42</f>
        <v/>
      </c>
      <c r="H42" s="6">
        <f>C42*F42*$B$4</f>
        <v/>
      </c>
      <c r="I42" s="6">
        <f>G42+H42</f>
        <v/>
      </c>
      <c r="J42" t="inlineStr">
        <is>
          <t>TLS 38 + 21/m span (mat computed per type)</t>
        </is>
      </c>
    </row>
    <row r="43">
      <c r="A43" t="inlineStr">
        <is>
          <t>5 Roof structure</t>
        </is>
      </c>
      <c r="B43" t="inlineStr">
        <is>
          <t>Binders + diagonal bracing 25 x 100</t>
        </is>
      </c>
      <c r="C43" s="8" t="n">
        <v>31.48</v>
      </c>
      <c r="D43" t="inlineStr">
        <is>
          <t>m</t>
        </is>
      </c>
      <c r="E43" s="8" t="n">
        <v>1.35</v>
      </c>
      <c r="F43" s="8" t="n">
        <v>0.08</v>
      </c>
      <c r="G43" s="6">
        <f>C43*E43</f>
        <v/>
      </c>
      <c r="H43" s="6">
        <f>C43*F43*$B$4</f>
        <v/>
      </c>
      <c r="I43" s="6">
        <f>G43+H43</f>
        <v/>
      </c>
      <c r="J43" t="inlineStr">
        <is>
          <t>TLS 25x100 binders + diagonal bracing</t>
        </is>
      </c>
    </row>
    <row r="44">
      <c r="A44" t="inlineStr">
        <is>
          <t>5 Roof structure</t>
        </is>
      </c>
      <c r="B44" t="inlineStr">
        <is>
          <t>PLACEHOLDER - loft storage decking 18 P5 boards on the ceiling ties (optional)</t>
        </is>
      </c>
      <c r="C44" s="8" t="n">
        <v>0</v>
      </c>
      <c r="D44" t="inlineStr">
        <is>
          <t>m2</t>
        </is>
      </c>
      <c r="E44" s="8" t="n">
        <v>14</v>
      </c>
      <c r="F44" s="8" t="n">
        <v>0.02</v>
      </c>
      <c r="G44" s="6">
        <f>C44*E44</f>
        <v/>
      </c>
      <c r="H44" s="6">
        <f>C44*F44*$B$4</f>
        <v/>
      </c>
      <c r="I44" s="6">
        <f>G44+H44</f>
        <v/>
      </c>
      <c r="J44" t="inlineStr">
        <is>
          <t>placeholder: joists / floors / decking - set qty if wanted (half the internal area ~ 8.4 m2)</t>
        </is>
      </c>
    </row>
    <row r="45">
      <c r="A45" t="inlineStr">
        <is>
          <t>5 Roof structure</t>
        </is>
      </c>
      <c r="B45" t="inlineStr">
        <is>
          <t>Gable ladders (barge, rails, outriggers 47 x 72)</t>
        </is>
      </c>
      <c r="C45" s="8" t="n">
        <v>29.58</v>
      </c>
      <c r="D45" t="inlineStr">
        <is>
          <t>m</t>
        </is>
      </c>
      <c r="E45" s="8" t="n">
        <v>1.35</v>
      </c>
      <c r="F45" s="8" t="n">
        <v>0.08</v>
      </c>
      <c r="G45" s="6">
        <f>C45*E45</f>
        <v/>
      </c>
      <c r="H45" s="6">
        <f>C45*F45*$B$4</f>
        <v/>
      </c>
      <c r="I45" s="6">
        <f>G45+H45</f>
        <v/>
      </c>
      <c r="J45" t="inlineStr">
        <is>
          <t>TLS 25x100 binders + diagonal bracing</t>
        </is>
      </c>
    </row>
    <row r="46">
      <c r="A46" t="inlineStr">
        <is>
          <t>6 Roof coverings</t>
        </is>
      </c>
      <c r="B46" t="inlineStr">
        <is>
          <t>Breathable roofing membrane (laps incl.)</t>
        </is>
      </c>
      <c r="C46" s="8" t="n">
        <v>36.2</v>
      </c>
      <c r="D46" t="inlineStr">
        <is>
          <t>m2</t>
        </is>
      </c>
      <c r="E46" s="8" t="n">
        <v>1.1</v>
      </c>
      <c r="F46" s="8" t="n">
        <v>0.03</v>
      </c>
      <c r="G46" s="6">
        <f>C46*E46</f>
        <v/>
      </c>
      <c r="H46" s="6">
        <f>C46*F46*$B$4</f>
        <v/>
      </c>
      <c r="I46" s="6">
        <f>G46+H46</f>
        <v/>
      </c>
      <c r="J46" t="inlineStr">
        <is>
          <t>TLS breather membrane</t>
        </is>
      </c>
    </row>
    <row r="47">
      <c r="A47" t="inlineStr">
        <is>
          <t>6 Roof coverings</t>
        </is>
      </c>
      <c r="B47" t="inlineStr">
        <is>
          <t>Treated battens 25 x 50 @ 345 gauge</t>
        </is>
      </c>
      <c r="C47" s="8" t="n">
        <v>126.3</v>
      </c>
      <c r="D47" t="inlineStr">
        <is>
          <t>m</t>
        </is>
      </c>
      <c r="E47" s="8" t="n">
        <v>0.85</v>
      </c>
      <c r="F47" s="8" t="n">
        <v>0.02</v>
      </c>
      <c r="G47" s="6">
        <f>C47*E47</f>
        <v/>
      </c>
      <c r="H47" s="6">
        <f>C47*F47*$B$4</f>
        <v/>
      </c>
      <c r="I47" s="6">
        <f>G47+H47</f>
        <v/>
      </c>
      <c r="J47" t="inlineStr">
        <is>
          <t>TLS 25x50 treated</t>
        </is>
      </c>
    </row>
    <row r="48">
      <c r="A48" t="inlineStr">
        <is>
          <t>6 Roof coverings</t>
        </is>
      </c>
      <c r="B48" t="inlineStr">
        <is>
          <t>Marley Modern smooth grey tiles (drawn: 308, +3% breakage)</t>
        </is>
      </c>
      <c r="C48" s="8" t="n">
        <v>318</v>
      </c>
      <c r="D48" t="inlineStr">
        <is>
          <t>nr</t>
        </is>
      </c>
      <c r="E48" s="8" t="n">
        <v>1.48</v>
      </c>
      <c r="F48" s="8" t="n">
        <v>0.035</v>
      </c>
      <c r="G48" s="6">
        <f>C48*E48</f>
        <v/>
      </c>
      <c r="H48" s="6">
        <f>C48*F48*$B$4</f>
        <v/>
      </c>
      <c r="I48" s="6">
        <f>G48+H48</f>
        <v/>
      </c>
      <c r="J48" t="inlineStr">
        <is>
          <t>WEB Marley Modern smooth grey ex VAT; ~0.37 h/m2 roofer</t>
        </is>
      </c>
    </row>
    <row r="49">
      <c r="A49" t="inlineStr">
        <is>
          <t>6 Roof coverings</t>
        </is>
      </c>
      <c r="B49" t="inlineStr">
        <is>
          <t>Dry ridge + half-round ridge tiles (15 drawn)</t>
        </is>
      </c>
      <c r="C49" s="8" t="n">
        <v>6.38</v>
      </c>
      <c r="D49" t="inlineStr">
        <is>
          <t>m</t>
        </is>
      </c>
      <c r="E49" s="8" t="n">
        <v>24</v>
      </c>
      <c r="F49" s="8" t="n">
        <v>0.35</v>
      </c>
      <c r="G49" s="6">
        <f>C49*E49</f>
        <v/>
      </c>
      <c r="H49" s="6">
        <f>C49*F49*$B$4</f>
        <v/>
      </c>
      <c r="I49" s="6">
        <f>G49+H49</f>
        <v/>
      </c>
      <c r="J49" t="inlineStr">
        <is>
          <t>MKT dry ridge kit + half-round ridge tiles</t>
        </is>
      </c>
    </row>
    <row r="50">
      <c r="A50" t="inlineStr">
        <is>
          <t>6 Roof coverings</t>
        </is>
      </c>
      <c r="B50" t="inlineStr">
        <is>
          <t>Dry verge units</t>
        </is>
      </c>
      <c r="C50" s="8" t="n">
        <v>9.859999999999999</v>
      </c>
      <c r="D50" t="inlineStr">
        <is>
          <t>m</t>
        </is>
      </c>
      <c r="E50" s="8" t="n">
        <v>14</v>
      </c>
      <c r="F50" s="8" t="n">
        <v>0.2</v>
      </c>
      <c r="G50" s="6">
        <f>C50*E50</f>
        <v/>
      </c>
      <c r="H50" s="6">
        <f>C50*F50*$B$4</f>
        <v/>
      </c>
      <c r="I50" s="6">
        <f>G50+H50</f>
        <v/>
      </c>
      <c r="J50" t="inlineStr">
        <is>
          <t>MKT dry verge units</t>
        </is>
      </c>
    </row>
    <row r="51">
      <c r="A51" t="inlineStr">
        <is>
          <t>6 Roof coverings</t>
        </is>
      </c>
      <c r="B51" t="inlineStr">
        <is>
          <t>uPVC fascia + vented soffit</t>
        </is>
      </c>
      <c r="C51" s="8" t="n">
        <v>12.75</v>
      </c>
      <c r="D51" t="inlineStr">
        <is>
          <t>m</t>
        </is>
      </c>
      <c r="E51" s="8" t="n">
        <v>16</v>
      </c>
      <c r="F51" s="8" t="n">
        <v>0.35</v>
      </c>
      <c r="G51" s="6">
        <f>C51*E51</f>
        <v/>
      </c>
      <c r="H51" s="6">
        <f>C51*F51*$B$4</f>
        <v/>
      </c>
      <c r="I51" s="6">
        <f>G51+H51</f>
        <v/>
      </c>
      <c r="J51" t="inlineStr">
        <is>
          <t>TLS uPVC fascia / soffit</t>
        </is>
      </c>
    </row>
    <row r="52">
      <c r="A52" t="inlineStr">
        <is>
          <t>6 Roof coverings</t>
        </is>
      </c>
      <c r="B52" t="inlineStr">
        <is>
          <t>uPVC barge boards 22 x 225</t>
        </is>
      </c>
      <c r="C52" s="8" t="n">
        <v>9.859999999999999</v>
      </c>
      <c r="D52" t="inlineStr">
        <is>
          <t>m</t>
        </is>
      </c>
      <c r="E52" s="8" t="n">
        <v>14</v>
      </c>
      <c r="F52" s="8" t="n">
        <v>0.3</v>
      </c>
      <c r="G52" s="6">
        <f>C52*E52</f>
        <v/>
      </c>
      <c r="H52" s="6">
        <f>C52*F52*$B$4</f>
        <v/>
      </c>
      <c r="I52" s="6">
        <f>G52+H52</f>
        <v/>
      </c>
      <c r="J52" t="inlineStr">
        <is>
          <t>TLS uPVC barge board</t>
        </is>
      </c>
    </row>
    <row r="53">
      <c r="A53" t="inlineStr">
        <is>
          <t>6 Roof coverings</t>
        </is>
      </c>
      <c r="B53" t="inlineStr">
        <is>
          <t>Half-round gutter 112 black + fittings</t>
        </is>
      </c>
      <c r="C53" s="8" t="n">
        <v>12.75</v>
      </c>
      <c r="D53" t="inlineStr">
        <is>
          <t>m</t>
        </is>
      </c>
      <c r="E53" s="8" t="n">
        <v>11</v>
      </c>
      <c r="F53" s="8" t="n">
        <v>0.2</v>
      </c>
      <c r="G53" s="6">
        <f>C53*E53</f>
        <v/>
      </c>
      <c r="H53" s="6">
        <f>C53*F53*$B$4</f>
        <v/>
      </c>
      <c r="I53" s="6">
        <f>G53+H53</f>
        <v/>
      </c>
      <c r="J53" t="inlineStr">
        <is>
          <t>TLS half-round gutter + brackets</t>
        </is>
      </c>
    </row>
    <row r="54">
      <c r="A54" t="inlineStr">
        <is>
          <t>6 Roof coverings</t>
        </is>
      </c>
      <c r="B54" t="inlineStr">
        <is>
          <t>Downpipe sets 68 round black</t>
        </is>
      </c>
      <c r="C54" s="8" t="n">
        <v>2</v>
      </c>
      <c r="D54" t="inlineStr">
        <is>
          <t>nr</t>
        </is>
      </c>
      <c r="E54" s="8" t="n">
        <v>38</v>
      </c>
      <c r="F54" s="8" t="n">
        <v>1</v>
      </c>
      <c r="G54" s="6">
        <f>C54*E54</f>
        <v/>
      </c>
      <c r="H54" s="6">
        <f>C54*F54*$B$4</f>
        <v/>
      </c>
      <c r="I54" s="6">
        <f>G54+H54</f>
        <v/>
      </c>
      <c r="J54" t="inlineStr">
        <is>
          <t>TLS downpipe set</t>
        </is>
      </c>
    </row>
    <row r="55">
      <c r="A55" t="inlineStr">
        <is>
          <t>7 External finish</t>
        </is>
      </c>
      <c r="B55" t="inlineStr">
        <is>
          <t>Monolith BrickPlus slips 215 x 65 x 20 - supply + fix + point (flat area)</t>
        </is>
      </c>
      <c r="C55" s="8" t="n">
        <v>40.34</v>
      </c>
      <c r="D55" t="inlineStr">
        <is>
          <t>m2</t>
        </is>
      </c>
      <c r="E55" s="8" t="n">
        <v>42</v>
      </c>
      <c r="F55" s="8" t="n">
        <v>1.1</v>
      </c>
      <c r="G55" s="6">
        <f>C55*E55</f>
        <v/>
      </c>
      <c r="H55" s="6">
        <f>C55*F55*$B$4</f>
        <v/>
      </c>
      <c r="I55" s="6">
        <f>G55+H55</f>
        <v/>
      </c>
      <c r="J55" t="inlineStr">
        <is>
          <t>MKT Monolith BrickPlus-type 20 mm slips (no insulation - the Nudura EPS is the substrate)</t>
        </is>
      </c>
    </row>
    <row r="56">
      <c r="A56" t="inlineStr">
        <is>
          <t>7 External finish</t>
        </is>
      </c>
      <c r="B56" t="inlineStr">
        <is>
          <t>L-shaped corner slips (drawn: 240 legs)</t>
        </is>
      </c>
      <c r="C56" s="8" t="n">
        <v>291</v>
      </c>
      <c r="D56" t="inlineStr">
        <is>
          <t>nr</t>
        </is>
      </c>
      <c r="E56" s="8" t="n">
        <v>1.65</v>
      </c>
      <c r="F56" s="8" t="n">
        <v>0.03</v>
      </c>
      <c r="G56" s="6">
        <f>C56*E56</f>
        <v/>
      </c>
      <c r="H56" s="6">
        <f>C56*F56*$B$4</f>
        <v/>
      </c>
      <c r="I56" s="6">
        <f>G56+H56</f>
        <v/>
      </c>
      <c r="J56" t="inlineStr">
        <is>
          <t>MKT L-shaped corner slips</t>
        </is>
      </c>
    </row>
    <row r="57">
      <c r="A57" t="inlineStr">
        <is>
          <t>7 External finish</t>
        </is>
      </c>
      <c r="B57" t="inlineStr">
        <is>
          <t>Slip adhesive 25 kg</t>
        </is>
      </c>
      <c r="C57" s="8" t="n">
        <v>9</v>
      </c>
      <c r="D57" t="inlineStr">
        <is>
          <t>bag</t>
        </is>
      </c>
      <c r="E57" s="8" t="n">
        <v>19.5</v>
      </c>
      <c r="F57" s="8" t="n">
        <v>0</v>
      </c>
      <c r="G57" s="6">
        <f>C57*E57</f>
        <v/>
      </c>
      <c r="H57" s="6">
        <f>C57*F57*$B$4</f>
        <v/>
      </c>
      <c r="I57" s="6">
        <f>G57+H57</f>
        <v/>
      </c>
      <c r="J57" t="inlineStr">
        <is>
          <t>MKT flexible slip adhesive 25 kg (~5 kg/m2)</t>
        </is>
      </c>
    </row>
    <row r="58">
      <c r="A58" t="inlineStr">
        <is>
          <t>7 External finish</t>
        </is>
      </c>
      <c r="B58" t="inlineStr">
        <is>
          <t>Pointing mortar 25 kg</t>
        </is>
      </c>
      <c r="C58" s="8" t="n">
        <v>7</v>
      </c>
      <c r="D58" t="inlineStr">
        <is>
          <t>bag</t>
        </is>
      </c>
      <c r="E58" s="8" t="n">
        <v>16</v>
      </c>
      <c r="F58" s="8" t="n">
        <v>0</v>
      </c>
      <c r="G58" s="6">
        <f>C58*E58</f>
        <v/>
      </c>
      <c r="H58" s="6">
        <f>C58*F58*$B$4</f>
        <v/>
      </c>
      <c r="I58" s="6">
        <f>G58+H58</f>
        <v/>
      </c>
      <c r="J58" t="inlineStr">
        <is>
          <t>MKT pointing mortar 25 kg (~4 kg/m2); pointing labour in slips_flat</t>
        </is>
      </c>
    </row>
    <row r="59">
      <c r="A59" t="inlineStr">
        <is>
          <t>7 External finish</t>
        </is>
      </c>
      <c r="B59" t="inlineStr">
        <is>
          <t>Base starter track + stop trims</t>
        </is>
      </c>
      <c r="C59" s="8" t="n">
        <v>37.1</v>
      </c>
      <c r="D59" t="inlineStr">
        <is>
          <t>m</t>
        </is>
      </c>
      <c r="E59" s="8" t="n">
        <v>6</v>
      </c>
      <c r="F59" s="8" t="n">
        <v>0.1</v>
      </c>
      <c r="G59" s="6">
        <f>C59*E59</f>
        <v/>
      </c>
      <c r="H59" s="6">
        <f>C59*F59*$B$4</f>
        <v/>
      </c>
      <c r="I59" s="6">
        <f>G59+H59</f>
        <v/>
      </c>
      <c r="J59" t="inlineStr">
        <is>
          <t>MKT base starter track / stop trims</t>
        </is>
      </c>
    </row>
    <row r="60">
      <c r="A60" t="inlineStr">
        <is>
          <t>8 Doors + windows</t>
        </is>
      </c>
      <c r="B60" t="inlineStr">
        <is>
          <t>Electric insulated roller garage door 2.4 x 2.29</t>
        </is>
      </c>
      <c r="C60" s="8" t="n">
        <v>1</v>
      </c>
      <c r="D60" t="inlineStr">
        <is>
          <t>nr</t>
        </is>
      </c>
      <c r="E60" s="8" t="n">
        <v>1650</v>
      </c>
      <c r="F60" s="8" t="n">
        <v>6</v>
      </c>
      <c r="G60" s="6">
        <f>C60*E60</f>
        <v/>
      </c>
      <c r="H60" s="6">
        <f>C60*F60*$B$4</f>
        <v/>
      </c>
      <c r="I60" s="6">
        <f>G60+H60</f>
        <v/>
      </c>
      <c r="J60" t="inlineStr">
        <is>
          <t>MKT electric insulated roller door 2.4 x 2.3, Yorkshire supply</t>
        </is>
      </c>
    </row>
    <row r="61">
      <c r="A61" t="inlineStr">
        <is>
          <t>8 Doors + windows</t>
        </is>
      </c>
      <c r="B61" t="inlineStr">
        <is>
          <t>Composite personnel door + fixed overpanel</t>
        </is>
      </c>
      <c r="C61" s="8" t="n">
        <v>1</v>
      </c>
      <c r="D61" t="inlineStr">
        <is>
          <t>nr</t>
        </is>
      </c>
      <c r="E61" s="8" t="n">
        <v>1050</v>
      </c>
      <c r="F61" s="8" t="n">
        <v>5</v>
      </c>
      <c r="G61" s="6">
        <f>C61*E61</f>
        <v/>
      </c>
      <c r="H61" s="6">
        <f>C61*F61*$B$4</f>
        <v/>
      </c>
      <c r="I61" s="6">
        <f>G61+H61</f>
        <v/>
      </c>
      <c r="J61" t="inlineStr">
        <is>
          <t>NGR single door (composite + overpanel)</t>
        </is>
      </c>
    </row>
    <row r="62">
      <c r="A62" t="inlineStr">
        <is>
          <t>8 Doors + windows</t>
        </is>
      </c>
      <c r="B62" t="inlineStr">
        <is>
          <t>Alu-clad / uPVC windows RAL 7016 (1 nr) - base</t>
        </is>
      </c>
      <c r="C62" s="8" t="n">
        <v>1</v>
      </c>
      <c r="D62" t="inlineStr">
        <is>
          <t>nr</t>
        </is>
      </c>
      <c r="E62" s="8" t="n">
        <v>280</v>
      </c>
      <c r="F62" s="8" t="n">
        <v>1</v>
      </c>
      <c r="G62" s="6">
        <f>C62*E62</f>
        <v/>
      </c>
      <c r="H62" s="6">
        <f>C62*F62*$B$4</f>
        <v/>
      </c>
      <c r="I62" s="6">
        <f>G62+H62</f>
        <v/>
      </c>
      <c r="J62" t="inlineStr">
        <is>
          <t>NGR window base</t>
        </is>
      </c>
    </row>
    <row r="63">
      <c r="A63" t="inlineStr">
        <is>
          <t>8 Doors + windows</t>
        </is>
      </c>
      <c r="B63" t="inlineStr">
        <is>
          <t>Windows - per m2</t>
        </is>
      </c>
      <c r="C63" s="8" t="n">
        <v>1.1</v>
      </c>
      <c r="D63" t="inlineStr">
        <is>
          <t>m2</t>
        </is>
      </c>
      <c r="E63" s="8" t="n">
        <v>420</v>
      </c>
      <c r="F63" s="8" t="n">
        <v>2.5</v>
      </c>
      <c r="G63" s="6">
        <f>C63*E63</f>
        <v/>
      </c>
      <c r="H63" s="6">
        <f>C63*F63*$B$4</f>
        <v/>
      </c>
      <c r="I63" s="6">
        <f>G63+H63</f>
        <v/>
      </c>
      <c r="J63" t="inlineStr">
        <is>
          <t>NGR 280 per window + 420/m2 (base on the window line)</t>
        </is>
      </c>
    </row>
    <row r="64">
      <c r="A64" t="inlineStr">
        <is>
          <t>8 Doors + windows</t>
        </is>
      </c>
      <c r="B64" t="inlineStr">
        <is>
          <t>illbruck ME220 external membrane 100 x 25 m</t>
        </is>
      </c>
      <c r="C64" s="8" t="n">
        <v>1</v>
      </c>
      <c r="D64" t="inlineStr">
        <is>
          <t>roll</t>
        </is>
      </c>
      <c r="E64" s="8" t="n">
        <v>58</v>
      </c>
      <c r="F64" s="8" t="n">
        <v>0</v>
      </c>
      <c r="G64" s="6">
        <f>C64*E64</f>
        <v/>
      </c>
      <c r="H64" s="6">
        <f>C64*F64*$B$4</f>
        <v/>
      </c>
      <c r="I64" s="6">
        <f>G64+H64</f>
        <v/>
      </c>
      <c r="J64" t="inlineStr">
        <is>
          <t>MKT illbruck ME220 100 mm x 25 m</t>
        </is>
      </c>
    </row>
    <row r="65">
      <c r="A65" t="inlineStr">
        <is>
          <t>8 Doors + windows</t>
        </is>
      </c>
      <c r="B65" t="inlineStr">
        <is>
          <t>illbruck ME110 internal membrane 100 x 25 m</t>
        </is>
      </c>
      <c r="C65" s="8" t="n">
        <v>1</v>
      </c>
      <c r="D65" t="inlineStr">
        <is>
          <t>roll</t>
        </is>
      </c>
      <c r="E65" s="8" t="n">
        <v>52</v>
      </c>
      <c r="F65" s="8" t="n">
        <v>0</v>
      </c>
      <c r="G65" s="6">
        <f>C65*E65</f>
        <v/>
      </c>
      <c r="H65" s="6">
        <f>C65*F65*$B$4</f>
        <v/>
      </c>
      <c r="I65" s="6">
        <f>G65+H65</f>
        <v/>
      </c>
      <c r="J65" t="inlineStr">
        <is>
          <t>MKT illbruck ME110 100 mm x 25 m</t>
        </is>
      </c>
    </row>
    <row r="66">
      <c r="A66" t="inlineStr">
        <is>
          <t>8 Doors + windows</t>
        </is>
      </c>
      <c r="B66" t="inlineStr">
        <is>
          <t>Fix the opening membranes</t>
        </is>
      </c>
      <c r="C66" s="8" t="n">
        <v>19.4</v>
      </c>
      <c r="D66" t="inlineStr">
        <is>
          <t>m</t>
        </is>
      </c>
      <c r="E66" s="8" t="n">
        <v>0</v>
      </c>
      <c r="F66" s="8" t="n">
        <v>0.08</v>
      </c>
      <c r="G66" s="6">
        <f>C66*E66</f>
        <v/>
      </c>
      <c r="H66" s="6">
        <f>C66*F66*$B$4</f>
        <v/>
      </c>
      <c r="I66" s="6">
        <f>G66+H66</f>
        <v/>
      </c>
      <c r="J66" t="inlineStr">
        <is>
          <t>MKT</t>
        </is>
      </c>
    </row>
    <row r="67">
      <c r="A67" t="inlineStr">
        <is>
          <t>9 Electrics</t>
        </is>
      </c>
      <c r="B67" t="inlineStr">
        <is>
          <t>2 double sockets + 2 LED battens, sub-board, short feed, test + cert</t>
        </is>
      </c>
      <c r="C67" s="8" t="n">
        <v>1</v>
      </c>
      <c r="D67" t="inlineStr">
        <is>
          <t>item</t>
        </is>
      </c>
      <c r="E67" s="8" t="n">
        <v>520</v>
      </c>
      <c r="F67" s="8" t="n">
        <v>14</v>
      </c>
      <c r="G67" s="6">
        <f>C67*E67</f>
        <v/>
      </c>
      <c r="H67" s="6">
        <f>C67*F67*$B$4</f>
        <v/>
      </c>
      <c r="I67" s="6">
        <f>G67+H67</f>
        <v/>
      </c>
      <c r="J67" t="inlineStr">
        <is>
          <t>TLS / MKT 2 double sockets, 2 LED battens, sub-board, short feed, test + cert</t>
        </is>
      </c>
    </row>
    <row r="68">
      <c r="A68" t="inlineStr">
        <is>
          <t>10 Design + approvals</t>
        </is>
      </c>
      <c r="B68" t="inlineStr">
        <is>
          <t>Building control (provisional)</t>
        </is>
      </c>
      <c r="C68" s="8" t="n">
        <v>1</v>
      </c>
      <c r="D68" t="inlineStr">
        <is>
          <t>item</t>
        </is>
      </c>
      <c r="E68" s="8" t="n">
        <v>650</v>
      </c>
      <c r="F68" s="8" t="n">
        <v>0</v>
      </c>
      <c r="G68" s="6">
        <f>C68*E68</f>
        <v/>
      </c>
      <c r="H68" s="6">
        <f>C68*F68*$B$4</f>
        <v/>
      </c>
      <c r="I68" s="6">
        <f>G68+H68</f>
        <v/>
      </c>
      <c r="J68" t="inlineStr">
        <is>
          <t>Building control (LABC) - provisional</t>
        </is>
      </c>
    </row>
    <row r="69">
      <c r="A69" t="inlineStr">
        <is>
          <t>10 Design + approvals</t>
        </is>
      </c>
      <c r="B69" t="inlineStr">
        <is>
          <t>Structural engineer - calcs + details (provisional)</t>
        </is>
      </c>
      <c r="C69" s="8" t="n">
        <v>1</v>
      </c>
      <c r="D69" t="inlineStr">
        <is>
          <t>item</t>
        </is>
      </c>
      <c r="E69" s="8" t="n">
        <v>850</v>
      </c>
      <c r="F69" s="8" t="n">
        <v>0</v>
      </c>
      <c r="G69" s="6">
        <f>C69*E69</f>
        <v/>
      </c>
      <c r="H69" s="6">
        <f>C69*F69*$B$4</f>
        <v/>
      </c>
      <c r="I69" s="6">
        <f>G69+H69</f>
        <v/>
      </c>
      <c r="J69" t="inlineStr">
        <is>
          <t>Structural engineer calcs - provisional</t>
        </is>
      </c>
    </row>
    <row r="70">
      <c r="A70" t="inlineStr">
        <is>
          <t>10 Design + approvals</t>
        </is>
      </c>
      <c r="B70" t="inlineStr">
        <is>
          <t>Drawings / lawful development certificate (provisional)</t>
        </is>
      </c>
      <c r="C70" s="8" t="n">
        <v>1</v>
      </c>
      <c r="D70" t="inlineStr">
        <is>
          <t>item</t>
        </is>
      </c>
      <c r="E70" s="8" t="n">
        <v>1250</v>
      </c>
      <c r="F70" s="8" t="n">
        <v>0</v>
      </c>
      <c r="G70" s="6">
        <f>C70*E70</f>
        <v/>
      </c>
      <c r="H70" s="6">
        <f>C70*F70*$B$4</f>
        <v/>
      </c>
      <c r="I70" s="6">
        <f>G70+H70</f>
        <v/>
      </c>
      <c r="J70" t="inlineStr">
        <is>
          <t>Drawings / PD certificate / planning - provisional</t>
        </is>
      </c>
    </row>
    <row r="71">
      <c r="H71" s="4" t="inlineStr">
        <is>
          <t>BOQ net</t>
        </is>
      </c>
      <c r="I71" s="7">
        <f>SUM(I25:I70)</f>
        <v/>
      </c>
    </row>
    <row r="72">
      <c r="H72" t="inlineStr">
        <is>
          <t>BOQ + OH&amp;P</t>
        </is>
      </c>
      <c r="I72" s="6">
        <f>I71*(1+$B$5/100)</f>
        <v/>
      </c>
    </row>
    <row r="73"/>
    <row r="74">
      <c r="H74" s="4" t="inlineStr">
        <is>
          <t>TOTAL NET (A + B)</t>
        </is>
      </c>
      <c r="I74" s="7">
        <f>H21+I72</f>
        <v/>
      </c>
    </row>
    <row r="75">
      <c r="H75" t="inlineStr">
        <is>
          <t>+ contingency</t>
        </is>
      </c>
      <c r="I75" s="6">
        <f>I74*(1+$B$6/100)</f>
        <v/>
      </c>
    </row>
    <row r="76">
      <c r="H76" s="4" t="inlineStr">
        <is>
          <t>TOTAL inc VAT</t>
        </is>
      </c>
      <c r="I76" s="7">
        <f>I75*(1+$B$7/100)</f>
        <v/>
      </c>
    </row>
    <row r="77"/>
    <row r="78">
      <c r="A78" s="4" t="inlineStr">
        <is>
          <t>C. PROGRAMME (working days)</t>
        </is>
      </c>
    </row>
    <row r="79">
      <c r="B79" t="inlineStr">
        <is>
          <t>Site setup + setting out</t>
        </is>
      </c>
      <c r="C79" s="8" t="n">
        <v>0.5</v>
      </c>
      <c r="D79" t="inlineStr">
        <is>
          <t>days</t>
        </is>
      </c>
      <c r="J79" t="inlineStr">
        <is>
          <t>welfare, skip, set out the raft</t>
        </is>
      </c>
    </row>
    <row r="80">
      <c r="B80" t="inlineStr">
        <is>
          <t>Below ground - excavation, muck away, drainage</t>
        </is>
      </c>
      <c r="C80" s="8" t="n">
        <v>1</v>
      </c>
      <c r="D80" t="inlineStr">
        <is>
          <t>days</t>
        </is>
      </c>
      <c r="J80" t="inlineStr">
        <is>
          <t>2 operatives + excavator</t>
        </is>
      </c>
    </row>
    <row r="81">
      <c r="B81" t="inlineStr">
        <is>
          <t>Footings / substructure - hardcore, DPM, mesh, starter bars</t>
        </is>
      </c>
      <c r="C81" s="8" t="n">
        <v>1</v>
      </c>
      <c r="D81" t="inlineStr">
        <is>
          <t>days</t>
        </is>
      </c>
      <c r="J81" t="inlineStr"/>
    </row>
    <row r="82">
      <c r="B82" t="inlineStr">
        <is>
          <t>Raft pour + power float</t>
        </is>
      </c>
      <c r="C82" s="8" t="n">
        <v>1</v>
      </c>
      <c r="D82" t="inlineStr">
        <is>
          <t>days</t>
        </is>
      </c>
      <c r="J82" t="inlineStr">
        <is>
          <t>pump on site</t>
        </is>
      </c>
    </row>
    <row r="83">
      <c r="B83" t="inlineStr">
        <is>
          <t>Raft cure before the ICF</t>
        </is>
      </c>
      <c r="C83" s="8" t="n">
        <v>3</v>
      </c>
      <c r="D83" t="inlineStr">
        <is>
          <t>days</t>
        </is>
      </c>
      <c r="J83" t="inlineStr">
        <is>
          <t>minimum before standing the forms (7 days before full load)</t>
        </is>
      </c>
    </row>
    <row r="84">
      <c r="B84" t="inlineStr">
        <is>
          <t>ICF walls - stand forms, rebar, bracing + alignment</t>
        </is>
      </c>
      <c r="C84" s="8" t="n">
        <v>1</v>
      </c>
      <c r="D84" t="inlineStr">
        <is>
          <t>days</t>
        </is>
      </c>
      <c r="J84" t="inlineStr">
        <is>
          <t>3-man gang (4.3 min per form)</t>
        </is>
      </c>
    </row>
    <row r="85">
      <c r="B85" t="inlineStr">
        <is>
          <t>ICF core pour</t>
        </is>
      </c>
      <c r="C85" s="8" t="n">
        <v>1</v>
      </c>
      <c r="D85" t="inlineStr">
        <is>
          <t>days</t>
        </is>
      </c>
      <c r="J85" t="inlineStr">
        <is>
          <t>pump, 3 lifts</t>
        </is>
      </c>
    </row>
    <row r="86">
      <c r="B86" t="inlineStr">
        <is>
          <t>Cure + strike bracing</t>
        </is>
      </c>
      <c r="C86" s="8" t="n">
        <v>3</v>
      </c>
      <c r="D86" t="inlineStr">
        <is>
          <t>days</t>
        </is>
      </c>
      <c r="J86" t="inlineStr"/>
    </row>
    <row r="87">
      <c r="B87" t="inlineStr">
        <is>
          <t>Roof structure</t>
        </is>
      </c>
      <c r="C87" s="8" t="n">
        <v>1</v>
      </c>
      <c r="D87" t="inlineStr">
        <is>
          <t>days</t>
        </is>
      </c>
      <c r="J87" t="inlineStr">
        <is>
          <t>trusses / rafters + ridge, ladders</t>
        </is>
      </c>
    </row>
    <row r="88">
      <c r="B88" t="inlineStr">
        <is>
          <t>Roof coverings + rainwater goods</t>
        </is>
      </c>
      <c r="C88" s="8" t="n">
        <v>1.9</v>
      </c>
      <c r="D88" t="inlineStr">
        <is>
          <t>days</t>
        </is>
      </c>
      <c r="J88" t="inlineStr">
        <is>
          <t>2 roofers</t>
        </is>
      </c>
    </row>
    <row r="89">
      <c r="B89" t="inlineStr">
        <is>
          <t>Doors, windows + opening tapes</t>
        </is>
      </c>
      <c r="C89" s="8" t="n">
        <v>1</v>
      </c>
      <c r="D89" t="inlineStr">
        <is>
          <t>days</t>
        </is>
      </c>
      <c r="J89" t="inlineStr"/>
    </row>
    <row r="90">
      <c r="B90" t="inlineStr">
        <is>
          <t>External finish</t>
        </is>
      </c>
      <c r="C90" s="8" t="n">
        <v>3.6</v>
      </c>
      <c r="D90" t="inlineStr">
        <is>
          <t>days</t>
        </is>
      </c>
      <c r="J90" t="inlineStr">
        <is>
          <t>2 operatives (slips)</t>
        </is>
      </c>
    </row>
    <row r="91">
      <c r="B91" t="inlineStr">
        <is>
          <t>Electrics + test</t>
        </is>
      </c>
      <c r="C91" s="8" t="n">
        <v>1.8</v>
      </c>
      <c r="D91" t="inlineStr">
        <is>
          <t>days</t>
        </is>
      </c>
      <c r="J91" t="inlineStr">
        <is>
          <t>1 electrician</t>
        </is>
      </c>
    </row>
    <row r="92">
      <c r="B92" t="inlineStr">
        <is>
          <t>Snag + clean</t>
        </is>
      </c>
      <c r="C92" s="8" t="n">
        <v>0.5</v>
      </c>
      <c r="D92" t="inlineStr">
        <is>
          <t>days</t>
        </is>
      </c>
      <c r="J92" t="inlineStr"/>
    </row>
    <row r="93">
      <c r="B93" s="4" t="inlineStr">
        <is>
          <t>Total</t>
        </is>
      </c>
      <c r="C93" s="7">
        <f>SUM(C79:C92)</f>
        <v/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2026-10-28T15:58:01Z</dcterms:created>
  <dcterms:modified xmlns:dcterms="http://purl.org/dc/terms/" xmlns:xsi="http://www.w3.org/2001/XMLSchema-instance" xsi:type="dcterms:W3CDTF">2026-10-28T15:58:01Z</dcterms:modified>
</cp:coreProperties>
</file>