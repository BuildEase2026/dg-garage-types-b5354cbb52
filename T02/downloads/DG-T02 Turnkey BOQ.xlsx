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DG-T02 Type 02 - Brick double garage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58</v>
      </c>
      <c r="D11" t="inlineStr">
        <is>
          <t>nr</t>
        </is>
      </c>
      <c r="E11" t="inlineStr">
        <is>
          <t>20 x 3</t>
        </is>
      </c>
      <c r="F11" s="6" t="n">
        <v>149.37</v>
      </c>
      <c r="G11" t="inlineStr">
        <is>
          <t>box of 3</t>
        </is>
      </c>
      <c r="H11" s="6" t="n">
        <v>2987.4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20</v>
      </c>
      <c r="D12" t="inlineStr">
        <is>
          <t>nr</t>
        </is>
      </c>
      <c r="E12" t="inlineStr">
        <is>
          <t>4 x 6</t>
        </is>
      </c>
      <c r="F12" s="6" t="n">
        <v>154.41</v>
      </c>
      <c r="G12" t="inlineStr">
        <is>
          <t>box of 6</t>
        </is>
      </c>
      <c r="H12" s="6" t="n">
        <v>617.64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28</v>
      </c>
      <c r="D13" t="inlineStr">
        <is>
          <t>nr</t>
        </is>
      </c>
      <c r="E13" t="inlineStr">
        <is>
          <t>1 x 40</t>
        </is>
      </c>
      <c r="F13" s="6" t="n">
        <v>105.84</v>
      </c>
      <c r="G13" t="inlineStr">
        <is>
          <t>box of 40</t>
        </is>
      </c>
      <c r="H13" s="6" t="n">
        <v>105.84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42</v>
      </c>
      <c r="D14" t="inlineStr">
        <is>
          <t>nr</t>
        </is>
      </c>
      <c r="E14" t="inlineStr">
        <is>
          <t>1 x 60</t>
        </is>
      </c>
      <c r="F14" s="6" t="n">
        <v>181.44</v>
      </c>
      <c r="G14" t="inlineStr">
        <is>
          <t>box of 60</t>
        </is>
      </c>
      <c r="H14" s="6" t="n">
        <v>181.44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4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2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1 d install + 1 pour + 1 cure + 1 strike = 4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78</v>
      </c>
      <c r="D19" t="inlineStr">
        <is>
          <t>forms</t>
        </is>
      </c>
      <c r="E19" t="inlineStr">
        <is>
          <t>44 cut forms</t>
        </is>
      </c>
      <c r="G19" t="inlineStr"/>
      <c r="H19" s="6" t="n">
        <v>433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4'!I17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6'!I9</f>
        <v/>
      </c>
    </row>
    <row r="30">
      <c r="B30" t="inlineStr">
        <is>
          <t>Bill 7 - Opening schedule (doors + windows)</t>
        </is>
      </c>
      <c r="I30" s="6">
        <f>'Bill 7'!I8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2.7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1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4 working days -&gt; 1 wk</t>
        </is>
      </c>
    </row>
    <row r="50">
      <c r="B50" t="inlineStr">
        <is>
          <t>Roof structure</t>
        </is>
      </c>
      <c r="C50" s="8" t="n">
        <v>2.1</v>
      </c>
      <c r="D50" t="inlineStr">
        <is>
          <t>days</t>
        </is>
      </c>
      <c r="J50" t="inlineStr">
        <is>
          <t>trusses / rafters + ridge, ladders</t>
        </is>
      </c>
    </row>
    <row r="51">
      <c r="B51" t="inlineStr">
        <is>
          <t>Roof coverings + rainwater goods</t>
        </is>
      </c>
      <c r="C51" s="8" t="n">
        <v>2.6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1.3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4.4</v>
      </c>
      <c r="D53" t="inlineStr">
        <is>
          <t>days</t>
        </is>
      </c>
      <c r="J53" t="inlineStr">
        <is>
          <t>2 operatives (slips)</t>
        </is>
      </c>
    </row>
    <row r="54">
      <c r="B54" t="inlineStr">
        <is>
          <t>Electrics + test</t>
        </is>
      </c>
      <c r="C54" s="8" t="n">
        <v>2.5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1</v>
      </c>
      <c r="D5" t="inlineStr">
        <is>
          <t>item</t>
        </is>
      </c>
      <c r="E5" s="8" t="n">
        <v>480</v>
      </c>
      <c r="F5" s="8" t="n">
        <v>136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tower / trestle hire 4 wk, single storey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17.32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21.64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3.86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43.34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8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0.13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11.29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39.4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(78 forms, 4.3 min / form): set-out, bracing + alignment, rebar, end caps / lintels</t>
        </is>
      </c>
      <c r="C4" s="8" t="n">
        <v>1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0.22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7.6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12.15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13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Trussed rafters (fink) @600, span 6.48 m</t>
        </is>
      </c>
      <c r="C6" s="8" t="n">
        <v>10</v>
      </c>
      <c r="D6" t="inlineStr">
        <is>
          <t>nr</t>
        </is>
      </c>
      <c r="E6" s="8" t="n">
        <v>174.15</v>
      </c>
      <c r="F6" s="8" t="n">
        <v>25.5</v>
      </c>
      <c r="G6" s="6">
        <f>C6*E6</f>
        <v/>
      </c>
      <c r="H6" s="6">
        <f>C6*F6</f>
        <v/>
      </c>
      <c r="I6" s="6">
        <f>G6+H6</f>
        <v/>
      </c>
      <c r="J6" t="inlineStr">
        <is>
          <t>TLS 38 + 21/m span (mat computed per type)</t>
        </is>
      </c>
    </row>
    <row r="7">
      <c r="A7" t="inlineStr">
        <is>
          <t>4.4</t>
        </is>
      </c>
      <c r="B7" s="2" t="inlineStr">
        <is>
          <t>Binders + diagonal bracing 25 x 100</t>
        </is>
      </c>
      <c r="C7" s="8" t="n">
        <v>37.09</v>
      </c>
      <c r="D7" t="inlineStr">
        <is>
          <t>m</t>
        </is>
      </c>
      <c r="E7" s="8" t="n">
        <v>1.35</v>
      </c>
      <c r="F7" s="8" t="n">
        <v>2.72</v>
      </c>
      <c r="G7" s="6">
        <f>C7*E7</f>
        <v/>
      </c>
      <c r="H7" s="6">
        <f>C7*F7</f>
        <v/>
      </c>
      <c r="I7" s="6">
        <f>G7+H7</f>
        <v/>
      </c>
      <c r="J7" t="inlineStr">
        <is>
          <t>TLS 25x100 binders + diagonal bracing</t>
        </is>
      </c>
    </row>
    <row r="8">
      <c r="A8" t="inlineStr">
        <is>
          <t>4.5</t>
        </is>
      </c>
      <c r="B8" s="2" t="inlineStr">
        <is>
          <t>Truss clips to the wall plate (2 per truss)</t>
        </is>
      </c>
      <c r="C8" s="8" t="n">
        <v>20</v>
      </c>
      <c r="D8" t="inlineStr">
        <is>
          <t>nr</t>
        </is>
      </c>
      <c r="E8" s="8" t="n">
        <v>1.1</v>
      </c>
      <c r="F8" s="8" t="n">
        <v>2.72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truss clip to the wall plate</t>
        </is>
      </c>
    </row>
    <row r="9">
      <c r="A9" t="inlineStr">
        <is>
          <t>4.6</t>
        </is>
      </c>
      <c r="B9" s="2" t="inlineStr">
        <is>
          <t>Twist / holding-down straps (2 per truss)</t>
        </is>
      </c>
      <c r="C9" s="8" t="n">
        <v>20</v>
      </c>
      <c r="D9" t="inlineStr">
        <is>
          <t>nr</t>
        </is>
      </c>
      <c r="E9" s="8" t="n">
        <v>1.4</v>
      </c>
      <c r="F9" s="8" t="n">
        <v>3.4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twist / holding-down strap</t>
        </is>
      </c>
    </row>
    <row r="10">
      <c r="A10" t="inlineStr">
        <is>
          <t>4.7</t>
        </is>
      </c>
      <c r="B10" s="2" t="inlineStr">
        <is>
          <t>PROVISIONAL floors / decking - 18 P5 loft storage boards on the ceiling ties (storage-rated trusses)</t>
        </is>
      </c>
      <c r="C10" s="8" t="n">
        <v>16.27</v>
      </c>
      <c r="D10" t="inlineStr">
        <is>
          <t>m2</t>
        </is>
      </c>
      <c r="E10" s="8" t="n">
        <v>9.5</v>
      </c>
      <c r="F10" s="8" t="n">
        <v>8.5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18 P5 loft boards (PROVISIONAL - storage trusses)</t>
        </is>
      </c>
    </row>
    <row r="11">
      <c r="A11" t="inlineStr">
        <is>
          <t>4.8</t>
        </is>
      </c>
      <c r="B11" s="2" t="inlineStr">
        <is>
          <t>PROVISIONAL - 47 x 72 noggins under the board edges</t>
        </is>
      </c>
      <c r="C11" s="8" t="n">
        <v>27.12</v>
      </c>
      <c r="D11" t="inlineStr">
        <is>
          <t>m</t>
        </is>
      </c>
      <c r="E11" s="8" t="n">
        <v>1.9</v>
      </c>
      <c r="F11" s="8" t="n">
        <v>3.4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47 x 72 C16 noggins</t>
        </is>
      </c>
    </row>
    <row r="12">
      <c r="A12" t="inlineStr">
        <is>
          <t>4.9</t>
        </is>
      </c>
      <c r="B12" s="2" t="inlineStr">
        <is>
          <t>PROVISIONAL - deck screws</t>
        </is>
      </c>
      <c r="C12" s="8" t="n">
        <v>16.27</v>
      </c>
      <c r="D12" t="inlineStr">
        <is>
          <t>m2</t>
        </is>
      </c>
      <c r="E12" s="8" t="n">
        <v>0.6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deck screws</t>
        </is>
      </c>
    </row>
    <row r="13">
      <c r="A13" t="inlineStr">
        <is>
          <t>4.10</t>
        </is>
      </c>
      <c r="B13" s="2" t="inlineStr">
        <is>
          <t>PROVISIONAL - insulated loft hatch + folding ladder</t>
        </is>
      </c>
      <c r="C13" s="8" t="n">
        <v>1</v>
      </c>
      <c r="D13" t="inlineStr">
        <is>
          <t>nr</t>
        </is>
      </c>
      <c r="E13" s="8" t="n">
        <v>185</v>
      </c>
      <c r="F13" s="8" t="n">
        <v>68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insulated loft hatch + folding ladder (PROVISIONAL)</t>
        </is>
      </c>
    </row>
    <row r="14">
      <c r="A14" t="inlineStr">
        <is>
          <t>4.11</t>
        </is>
      </c>
      <c r="B14" s="2" t="inlineStr">
        <is>
          <t>Gable ladders (barge, rails, outriggers 47 x 72)</t>
        </is>
      </c>
      <c r="C14" s="8" t="n">
        <v>44.87</v>
      </c>
      <c r="D14" t="inlineStr">
        <is>
          <t>m</t>
        </is>
      </c>
      <c r="E14" s="8" t="n">
        <v>1.35</v>
      </c>
      <c r="F14" s="8" t="n">
        <v>2.72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TLS 25x100 binders + diagonal bracing</t>
        </is>
      </c>
    </row>
    <row r="15">
      <c r="A15" t="inlineStr">
        <is>
          <t>4.12</t>
        </is>
      </c>
      <c r="B15" s="2" t="inlineStr">
        <is>
          <t>Gable lateral restraint straps @ 2 m to the trusses / rafters (both gables)</t>
        </is>
      </c>
      <c r="C15" s="8" t="n">
        <v>8</v>
      </c>
      <c r="D15" t="inlineStr">
        <is>
          <t>nr</t>
        </is>
      </c>
      <c r="E15" s="8" t="n">
        <v>4.5</v>
      </c>
      <c r="F15" s="8" t="n">
        <v>6.8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galv lateral restraint strap 30 x 5 x 1000 (BS EN 845-1)</t>
        </is>
      </c>
    </row>
    <row r="16">
      <c r="A16" t="inlineStr">
        <is>
          <t>4.13</t>
        </is>
      </c>
      <c r="B16" s="2" t="inlineStr">
        <is>
          <t>Carpentry sundries - nails, screws, framing anchors</t>
        </is>
      </c>
      <c r="C16" s="8" t="n">
        <v>1</v>
      </c>
      <c r="D16" t="inlineStr">
        <is>
          <t>item</t>
        </is>
      </c>
      <c r="E16" s="8" t="n">
        <v>45</v>
      </c>
      <c r="F16" s="8" t="n">
        <v>0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MKT nails, screws, framing anchors</t>
        </is>
      </c>
    </row>
    <row r="17">
      <c r="H17" s="4" t="inlineStr">
        <is>
          <t>Bill total</t>
        </is>
      </c>
      <c r="I17" s="7">
        <f>SUM(I4:I16)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54.8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168.4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484, +3% breakage)</t>
        </is>
      </c>
      <c r="C6" s="8" t="n">
        <v>499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(15 drawn)</t>
        </is>
      </c>
      <c r="C7" s="8" t="n">
        <v>6.38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14.96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+ vented soffit</t>
        </is>
      </c>
      <c r="C9" s="8" t="n">
        <v>12.75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225</t>
        </is>
      </c>
      <c r="C10" s="8" t="n">
        <v>14.96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12.75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(6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Monolith BrickPlus slips 215 x 65 x 20 - supply + fix + point (flat area)</t>
        </is>
      </c>
      <c r="C4" s="8" t="n">
        <v>51.44</v>
      </c>
      <c r="D4" t="inlineStr">
        <is>
          <t>m2</t>
        </is>
      </c>
      <c r="E4" s="8" t="n">
        <v>42</v>
      </c>
      <c r="F4" s="8" t="n">
        <v>37.4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Monolith BrickPlus-type 20 mm slips (no insulation - the Nudura EPS is the substrate)</t>
        </is>
      </c>
    </row>
    <row r="5">
      <c r="A5" t="inlineStr">
        <is>
          <t>6.2</t>
        </is>
      </c>
      <c r="B5" s="2" t="inlineStr">
        <is>
          <t>L-shaped corner slips (drawn: 240 legs)</t>
        </is>
      </c>
      <c r="C5" s="8" t="n">
        <v>292</v>
      </c>
      <c r="D5" t="inlineStr">
        <is>
          <t>nr</t>
        </is>
      </c>
      <c r="E5" s="8" t="n">
        <v>1.65</v>
      </c>
      <c r="F5" s="8" t="n">
        <v>1.02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L-shaped corner slips</t>
        </is>
      </c>
    </row>
    <row r="6">
      <c r="A6" t="inlineStr">
        <is>
          <t>6.3</t>
        </is>
      </c>
      <c r="B6" s="2" t="inlineStr">
        <is>
          <t>Slip adhesive 25 kg</t>
        </is>
      </c>
      <c r="C6" s="8" t="n">
        <v>11</v>
      </c>
      <c r="D6" t="inlineStr">
        <is>
          <t>bag</t>
        </is>
      </c>
      <c r="E6" s="8" t="n">
        <v>19.5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flexible slip adhesive 25 kg (~5 kg/m2)</t>
        </is>
      </c>
    </row>
    <row r="7">
      <c r="A7" t="inlineStr">
        <is>
          <t>6.4</t>
        </is>
      </c>
      <c r="B7" s="2" t="inlineStr">
        <is>
          <t>Pointing mortar 25 kg</t>
        </is>
      </c>
      <c r="C7" s="8" t="n">
        <v>9</v>
      </c>
      <c r="D7" t="inlineStr">
        <is>
          <t>bag</t>
        </is>
      </c>
      <c r="E7" s="8" t="n">
        <v>16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pointing mortar 25 kg (~4 kg/m2); pointing labour in slips_flat</t>
        </is>
      </c>
    </row>
    <row r="8">
      <c r="A8" t="inlineStr">
        <is>
          <t>6.5</t>
        </is>
      </c>
      <c r="B8" s="2" t="inlineStr">
        <is>
          <t>Base starter track + stop trims</t>
        </is>
      </c>
      <c r="C8" s="8" t="n">
        <v>45.6</v>
      </c>
      <c r="D8" t="inlineStr">
        <is>
          <t>m</t>
        </is>
      </c>
      <c r="E8" s="8" t="n">
        <v>6</v>
      </c>
      <c r="F8" s="8" t="n">
        <v>3.4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base starter track / stop trims</t>
        </is>
      </c>
    </row>
    <row r="9">
      <c r="H9" s="4" t="inlineStr">
        <is>
          <t>Bill total</t>
        </is>
      </c>
      <c r="I9" s="7">
        <f>SUM(I4:I8)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4,800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2461.25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4.8 x 2.3; accessories GBP 11.25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A7" t="inlineStr">
        <is>
          <t>7.4</t>
        </is>
      </c>
      <c r="B7" s="2" t="inlineStr">
        <is>
          <t>L1-W02 Alu-clad timber window 1,200 x 914 S.O., RAL 7016, DGU, trickle vent, handles, aluminium cill; illbruck ME110 internal membrane (4.2 m) + sealant</t>
        </is>
      </c>
      <c r="C7" s="8" t="n">
        <v>1</v>
      </c>
      <c r="D7" t="inlineStr">
        <is>
          <t>nr</t>
        </is>
      </c>
      <c r="E7" s="8" t="n">
        <v>753.29</v>
      </c>
      <c r="F7" s="8" t="n">
        <v>113.56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280 per window + 420/m2 (base on the window line); accessories GBP 12.43 incl.</t>
        </is>
      </c>
    </row>
    <row r="8">
      <c r="H8" s="4" t="inlineStr">
        <is>
          <t>Bill total</t>
        </is>
      </c>
      <c r="I8" s="7">
        <f>SUM(I4:I7)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4 double sockets + 4 LED battens, sub-board, short feed, test + cert</t>
        </is>
      </c>
      <c r="C4" s="8" t="n">
        <v>1</v>
      </c>
      <c r="D4" t="inlineStr">
        <is>
          <t>item</t>
        </is>
      </c>
      <c r="E4" s="8" t="n">
        <v>760</v>
      </c>
      <c r="F4" s="8" t="n">
        <v>680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4 + 4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DG-T02 Type 02 - Brick double garage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2026-10-29T12:57:47Z</dcterms:created>
  <dcterms:modified xmlns:dcterms="http://purl.org/dc/terms/" xmlns:xsi="http://www.w3.org/2001/XMLSchema-instance" xsi:type="dcterms:W3CDTF">2026-10-29T12:57:47Z</dcterms:modified>
</cp:coreProperties>
</file>