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DG-T04 Type 04 - Brick two-storey double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157</v>
      </c>
      <c r="D11" t="inlineStr">
        <is>
          <t>nr</t>
        </is>
      </c>
      <c r="E11" t="inlineStr">
        <is>
          <t>53 x 3</t>
        </is>
      </c>
      <c r="F11" s="6" t="n">
        <v>149.37</v>
      </c>
      <c r="G11" t="inlineStr">
        <is>
          <t>box of 3</t>
        </is>
      </c>
      <c r="H11" s="6" t="n">
        <v>7916.61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44</v>
      </c>
      <c r="D12" t="inlineStr">
        <is>
          <t>nr</t>
        </is>
      </c>
      <c r="E12" t="inlineStr">
        <is>
          <t>8 x 6</t>
        </is>
      </c>
      <c r="F12" s="6" t="n">
        <v>154.41</v>
      </c>
      <c r="G12" t="inlineStr">
        <is>
          <t>box of 6</t>
        </is>
      </c>
      <c r="H12" s="6" t="n">
        <v>1235.28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44</v>
      </c>
      <c r="D13" t="inlineStr">
        <is>
          <t>nr</t>
        </is>
      </c>
      <c r="E13" t="inlineStr">
        <is>
          <t>2 x 40</t>
        </is>
      </c>
      <c r="F13" s="6" t="n">
        <v>105.84</v>
      </c>
      <c r="G13" t="inlineStr">
        <is>
          <t>box of 40</t>
        </is>
      </c>
      <c r="H13" s="6" t="n">
        <v>211.68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78</v>
      </c>
      <c r="D14" t="inlineStr">
        <is>
          <t>nr</t>
        </is>
      </c>
      <c r="E14" t="inlineStr">
        <is>
          <t>2 x 60</t>
        </is>
      </c>
      <c r="F14" s="6" t="n">
        <v>181.44</v>
      </c>
      <c r="G14" t="inlineStr">
        <is>
          <t>box of 60</t>
        </is>
      </c>
      <c r="H14" s="6" t="n">
        <v>362.88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10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5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2 d install + 1 pour + 1 cure + 1 strike = 5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201</v>
      </c>
      <c r="D19" t="inlineStr">
        <is>
          <t>forms</t>
        </is>
      </c>
      <c r="E19" t="inlineStr">
        <is>
          <t>95 cut forms</t>
        </is>
      </c>
      <c r="G19" t="inlineStr"/>
      <c r="H19" s="6" t="n">
        <v>545.5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4'!I19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6'!I9</f>
        <v/>
      </c>
    </row>
    <row r="30">
      <c r="B30" t="inlineStr">
        <is>
          <t>Bill 7 - Opening schedule (doors + windows)</t>
        </is>
      </c>
      <c r="I30" s="6">
        <f>'Bill 7'!I12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3.2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2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5 working days -&gt; 1 wk</t>
        </is>
      </c>
    </row>
    <row r="50">
      <c r="B50" t="inlineStr">
        <is>
          <t>First floor, stair + roof structure</t>
        </is>
      </c>
      <c r="C50" s="8" t="n">
        <v>7.5</v>
      </c>
      <c r="D50" t="inlineStr">
        <is>
          <t>days</t>
        </is>
      </c>
      <c r="J50" t="inlineStr">
        <is>
          <t>joists, deck, stair, guarding, ceiling; rafters + glulam ridge, ladders</t>
        </is>
      </c>
    </row>
    <row r="51">
      <c r="B51" t="inlineStr">
        <is>
          <t>Roof coverings + rainwater goods</t>
        </is>
      </c>
      <c r="C51" s="8" t="n">
        <v>3.2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2.1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10.9</v>
      </c>
      <c r="D53" t="inlineStr">
        <is>
          <t>days</t>
        </is>
      </c>
      <c r="J53" t="inlineStr">
        <is>
          <t>2 operatives (slips)</t>
        </is>
      </c>
    </row>
    <row r="54">
      <c r="B54" t="inlineStr">
        <is>
          <t>Electrics + test</t>
        </is>
      </c>
      <c r="C54" s="8" t="n">
        <v>2.5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32.77</v>
      </c>
      <c r="D5" t="inlineStr">
        <is>
          <t>m</t>
        </is>
      </c>
      <c r="E5" s="8" t="n">
        <v>38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independent scaffold per m perimeter, 2 storey, 8 wk, erect + strike incl.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21.19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26.49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4.99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53.48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10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0.15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13.56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48.62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(201 forms, 4.3 min / form): set-out, bracing + alignment, rebar, end caps / lintels</t>
        </is>
      </c>
      <c r="C4" s="8" t="n">
        <v>2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0.58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20.52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12.97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13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Loose C24 rafters (cut roof)</t>
        </is>
      </c>
      <c r="C6" s="8" t="n">
        <v>150.51</v>
      </c>
      <c r="D6" t="inlineStr">
        <is>
          <t>m</t>
        </is>
      </c>
      <c r="E6" s="8" t="n">
        <v>4.6</v>
      </c>
      <c r="F6" s="8" t="n">
        <v>6.12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C24 47x175</t>
        </is>
      </c>
    </row>
    <row r="7">
      <c r="A7" t="inlineStr">
        <is>
          <t>4.4</t>
        </is>
      </c>
      <c r="B7" s="2" t="inlineStr">
        <is>
          <t>Glulam GL24h ridge beam 100 x 480 (framer pick, engineer to confirm)</t>
        </is>
      </c>
      <c r="C7" s="8" t="n">
        <v>0.33</v>
      </c>
      <c r="D7" t="inlineStr">
        <is>
          <t>m3</t>
        </is>
      </c>
      <c r="E7" s="8" t="n">
        <v>1150</v>
      </c>
      <c r="F7" s="8" t="n">
        <v>204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glulam GL24h</t>
        </is>
      </c>
    </row>
    <row r="8">
      <c r="A8" t="inlineStr">
        <is>
          <t>4.5</t>
        </is>
      </c>
      <c r="B8" s="2" t="inlineStr">
        <is>
          <t>304 metal-web floor joists @ 400 across the 5.91 m width (21 nr incl. doubled trimming + trimmed)</t>
        </is>
      </c>
      <c r="C8" s="8" t="n">
        <v>124.15</v>
      </c>
      <c r="D8" t="inlineStr">
        <is>
          <t>m</t>
        </is>
      </c>
      <c r="E8" s="8" t="n">
        <v>17.5</v>
      </c>
      <c r="F8" s="8" t="n">
        <v>4.76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304 metal-web joists (Posi / PS12-type, supplier designed - the double's 5.9 m span) per m incl. delivery</t>
        </is>
      </c>
    </row>
    <row r="9">
      <c r="A9" t="inlineStr">
        <is>
          <t>4.6</t>
        </is>
      </c>
      <c r="B9" s="2" t="inlineStr">
        <is>
          <t>C24 ledgers on the ICF (47 x 178 side walls, 47 x 150 deck-edge on the eaves walls)</t>
        </is>
      </c>
      <c r="C9" s="8" t="n">
        <v>22.03</v>
      </c>
      <c r="D9" t="inlineStr">
        <is>
          <t>m</t>
        </is>
      </c>
      <c r="E9" s="8" t="n">
        <v>6.2</v>
      </c>
      <c r="F9" s="8" t="n">
        <v>10.2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47 x 178 / 150 C24 ledger on the ICF, fixed to the cast-in connectors</t>
        </is>
      </c>
    </row>
    <row r="10">
      <c r="A10" t="inlineStr">
        <is>
          <t>4.7</t>
        </is>
      </c>
      <c r="B10" s="2" t="inlineStr">
        <is>
          <t>Simpson ICFVL-CW + ICFLC ledger connectors, cast into the ICF @ &lt;= 1,200</t>
        </is>
      </c>
      <c r="C10" s="8" t="n">
        <v>23</v>
      </c>
      <c r="D10" t="inlineStr">
        <is>
          <t>nr</t>
        </is>
      </c>
      <c r="E10" s="8" t="n">
        <v>9.800000000000001</v>
      </c>
      <c r="F10" s="8" t="n">
        <v>5.1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Simpson Strong-Tie ICFVL-CW + ICFLC ICF ledger connector (cast in during the pour)</t>
        </is>
      </c>
    </row>
    <row r="11">
      <c r="A11" t="inlineStr">
        <is>
          <t>4.8</t>
        </is>
      </c>
      <c r="B11" s="2" t="inlineStr">
        <is>
          <t>Joist hangers + top-chord restraint clips (trimmed joists, trimmer, doubled joists)</t>
        </is>
      </c>
      <c r="C11" s="8" t="n">
        <v>50</v>
      </c>
      <c r="D11" t="inlineStr">
        <is>
          <t>nr</t>
        </is>
      </c>
      <c r="E11" s="8" t="n">
        <v>4.2</v>
      </c>
      <c r="F11" s="8" t="n">
        <v>5.1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face-fix metal-web / trimmer hanger + top-chord clips</t>
        </is>
      </c>
    </row>
    <row r="12">
      <c r="A12" t="inlineStr">
        <is>
          <t>4.9</t>
        </is>
      </c>
      <c r="B12" s="2" t="inlineStr">
        <is>
          <t>22 Egger Protect P5 T&amp;G deck, glued + screwed</t>
        </is>
      </c>
      <c r="C12" s="8" t="n">
        <v>40.41</v>
      </c>
      <c r="D12" t="inlineStr">
        <is>
          <t>m2</t>
        </is>
      </c>
      <c r="E12" s="8" t="n">
        <v>12.5</v>
      </c>
      <c r="F12" s="8" t="n">
        <v>8.5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22 Egger Protect P5 T&amp;G, glued + screwed</t>
        </is>
      </c>
    </row>
    <row r="13">
      <c r="A13" t="inlineStr">
        <is>
          <t>4.10</t>
        </is>
      </c>
      <c r="B13" s="2" t="inlineStr">
        <is>
          <t>Straight timber stair to AD K - 14 risers x 196 / 230, 900 wide (joinery manufacturer)</t>
        </is>
      </c>
      <c r="C13" s="8" t="n">
        <v>1</v>
      </c>
      <c r="D13" t="inlineStr">
        <is>
          <t>nr</t>
        </is>
      </c>
      <c r="E13" s="8" t="n">
        <v>1150</v>
      </c>
      <c r="F13" s="8" t="n">
        <v>408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softwood straight-flight stair, newels, handrail + balusters (joinery manufacturer, AD K)</t>
        </is>
      </c>
    </row>
    <row r="14">
      <c r="A14" t="inlineStr">
        <is>
          <t>4.11</t>
        </is>
      </c>
      <c r="B14" s="2" t="inlineStr">
        <is>
          <t>900 guarding round the stair well on the first floor</t>
        </is>
      </c>
      <c r="C14" s="8" t="n">
        <v>3.65</v>
      </c>
      <c r="D14" t="inlineStr">
        <is>
          <t>m</t>
        </is>
      </c>
      <c r="E14" s="8" t="n">
        <v>85</v>
      </c>
      <c r="F14" s="8" t="n">
        <v>40.8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MKT 900 softwood guarding round the stair well (handrail, baserail, 32 sq balusters, newel)</t>
        </is>
      </c>
    </row>
    <row r="15">
      <c r="A15" t="inlineStr">
        <is>
          <t>4.12</t>
        </is>
      </c>
      <c r="B15" s="2" t="inlineStr">
        <is>
          <t>Garage ceiling - 12.5 fire-rated plasterboard + skim (30 min under the room, BC to confirm)</t>
        </is>
      </c>
      <c r="C15" s="8" t="n">
        <v>38.49</v>
      </c>
      <c r="D15" t="inlineStr">
        <is>
          <t>m2</t>
        </is>
      </c>
      <c r="E15" s="8" t="n">
        <v>9</v>
      </c>
      <c r="F15" s="8" t="n">
        <v>15.3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12.5 fire-rated plasterboard + skim to the garage ceiling (30 min, garage under a room - BC to confirm)</t>
        </is>
      </c>
    </row>
    <row r="16">
      <c r="A16" t="inlineStr">
        <is>
          <t>4.13</t>
        </is>
      </c>
      <c r="B16" s="2" t="inlineStr">
        <is>
          <t>Gable ladders (barge, rails, outriggers 47 x 72)</t>
        </is>
      </c>
      <c r="C16" s="8" t="n">
        <v>54.73</v>
      </c>
      <c r="D16" t="inlineStr">
        <is>
          <t>m</t>
        </is>
      </c>
      <c r="E16" s="8" t="n">
        <v>1.35</v>
      </c>
      <c r="F16" s="8" t="n">
        <v>2.72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TLS 25x100 binders + diagonal bracing</t>
        </is>
      </c>
    </row>
    <row r="17">
      <c r="A17" t="inlineStr">
        <is>
          <t>4.14</t>
        </is>
      </c>
      <c r="B17" s="2" t="inlineStr">
        <is>
          <t>Gable lateral restraint straps @ 2 m to the trusses / rafters (both gables)</t>
        </is>
      </c>
      <c r="C17" s="8" t="n">
        <v>12</v>
      </c>
      <c r="D17" t="inlineStr">
        <is>
          <t>nr</t>
        </is>
      </c>
      <c r="E17" s="8" t="n">
        <v>4.5</v>
      </c>
      <c r="F17" s="8" t="n">
        <v>6.8</v>
      </c>
      <c r="G17" s="6">
        <f>C17*E17</f>
        <v/>
      </c>
      <c r="H17" s="6">
        <f>C17*F17</f>
        <v/>
      </c>
      <c r="I17" s="6">
        <f>G17+H17</f>
        <v/>
      </c>
      <c r="J17" t="inlineStr">
        <is>
          <t>MKT galv lateral restraint strap 30 x 5 x 1000 (BS EN 845-1)</t>
        </is>
      </c>
    </row>
    <row r="18">
      <c r="A18" t="inlineStr">
        <is>
          <t>4.15</t>
        </is>
      </c>
      <c r="B18" s="2" t="inlineStr">
        <is>
          <t>Carpentry sundries - nails, screws, framing anchors</t>
        </is>
      </c>
      <c r="C18" s="8" t="n">
        <v>1</v>
      </c>
      <c r="D18" t="inlineStr">
        <is>
          <t>item</t>
        </is>
      </c>
      <c r="E18" s="8" t="n">
        <v>45</v>
      </c>
      <c r="F18" s="8" t="n">
        <v>0</v>
      </c>
      <c r="G18" s="6">
        <f>C18*E18</f>
        <v/>
      </c>
      <c r="H18" s="6">
        <f>C18*F18</f>
        <v/>
      </c>
      <c r="I18" s="6">
        <f>G18+H18</f>
        <v/>
      </c>
      <c r="J18" t="inlineStr">
        <is>
          <t>MKT nails, screws, framing anchors</t>
        </is>
      </c>
    </row>
    <row r="19">
      <c r="H19" s="4" t="inlineStr">
        <is>
          <t>Bill total</t>
        </is>
      </c>
      <c r="I19" s="7">
        <f>SUM(I4:I18)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71.2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223.9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658, +3% breakage)</t>
        </is>
      </c>
      <c r="C6" s="8" t="n">
        <v>678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(16 drawn)</t>
        </is>
      </c>
      <c r="C7" s="8" t="n">
        <v>6.78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18.24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300 + vented soffit</t>
        </is>
      </c>
      <c r="C9" s="8" t="n">
        <v>13.57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325</t>
        </is>
      </c>
      <c r="C10" s="8" t="n">
        <v>18.24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13.57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(8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Monolith BrickPlus slips 215 x 65 x 20 - supply + fix + point (flat area)</t>
        </is>
      </c>
      <c r="C4" s="8" t="n">
        <v>138.83</v>
      </c>
      <c r="D4" t="inlineStr">
        <is>
          <t>m2</t>
        </is>
      </c>
      <c r="E4" s="8" t="n">
        <v>42</v>
      </c>
      <c r="F4" s="8" t="n">
        <v>37.4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Monolith BrickPlus-type 20 mm slips (no insulation - the Nudura EPS is the substrate)</t>
        </is>
      </c>
    </row>
    <row r="5">
      <c r="A5" t="inlineStr">
        <is>
          <t>6.2</t>
        </is>
      </c>
      <c r="B5" s="2" t="inlineStr">
        <is>
          <t>L-shaped corner slips (drawn: 528 legs)</t>
        </is>
      </c>
      <c r="C5" s="8" t="n">
        <v>533</v>
      </c>
      <c r="D5" t="inlineStr">
        <is>
          <t>nr</t>
        </is>
      </c>
      <c r="E5" s="8" t="n">
        <v>1.65</v>
      </c>
      <c r="F5" s="8" t="n">
        <v>1.02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L-shaped corner slips</t>
        </is>
      </c>
    </row>
    <row r="6">
      <c r="A6" t="inlineStr">
        <is>
          <t>6.3</t>
        </is>
      </c>
      <c r="B6" s="2" t="inlineStr">
        <is>
          <t>Slip adhesive 25 kg</t>
        </is>
      </c>
      <c r="C6" s="8" t="n">
        <v>29</v>
      </c>
      <c r="D6" t="inlineStr">
        <is>
          <t>bag</t>
        </is>
      </c>
      <c r="E6" s="8" t="n">
        <v>19.5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flexible slip adhesive 25 kg (~5 kg/m2)</t>
        </is>
      </c>
    </row>
    <row r="7">
      <c r="A7" t="inlineStr">
        <is>
          <t>6.4</t>
        </is>
      </c>
      <c r="B7" s="2" t="inlineStr">
        <is>
          <t>Pointing mortar 25 kg</t>
        </is>
      </c>
      <c r="C7" s="8" t="n">
        <v>23</v>
      </c>
      <c r="D7" t="inlineStr">
        <is>
          <t>bag</t>
        </is>
      </c>
      <c r="E7" s="8" t="n">
        <v>16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pointing mortar 25 kg (~4 kg/m2); pointing labour in slips_flat</t>
        </is>
      </c>
    </row>
    <row r="8">
      <c r="A8" t="inlineStr">
        <is>
          <t>6.5</t>
        </is>
      </c>
      <c r="B8" s="2" t="inlineStr">
        <is>
          <t>Base starter track + stop trims</t>
        </is>
      </c>
      <c r="C8" s="8" t="n">
        <v>52.3</v>
      </c>
      <c r="D8" t="inlineStr">
        <is>
          <t>m</t>
        </is>
      </c>
      <c r="E8" s="8" t="n">
        <v>6</v>
      </c>
      <c r="F8" s="8" t="n">
        <v>3.4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base starter track / stop trims</t>
        </is>
      </c>
    </row>
    <row r="9">
      <c r="H9" s="4" t="inlineStr">
        <is>
          <t>Bill total</t>
        </is>
      </c>
      <c r="I9" s="7">
        <f>SUM(I4:I8)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4,800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2461.25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4.8 x 2.3; accessories GBP 11.25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L1-W02 Alu-clad timber window 1,200 x 914 S.O., RAL 7016, DGU, trickle vent, handles, aluminium cill; illbruck ME110 internal membrane (4.2 m) + sealant</t>
        </is>
      </c>
      <c r="C7" s="8" t="n">
        <v>1</v>
      </c>
      <c r="D7" t="inlineStr">
        <is>
          <t>nr</t>
        </is>
      </c>
      <c r="E7" s="8" t="n">
        <v>753.29</v>
      </c>
      <c r="F7" s="8" t="n">
        <v>113.56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12.43 incl.</t>
        </is>
      </c>
    </row>
    <row r="8">
      <c r="A8" t="inlineStr">
        <is>
          <t>7.5</t>
        </is>
      </c>
      <c r="B8" s="2" t="inlineStr">
        <is>
          <t>L1-W11 Alu-clad timber window 1,200 x 914 S.O., RAL 7016, DGU, trickle vent, handles, aluminium cill; illbruck ME110 internal membrane (4.2 m) + sealant</t>
        </is>
      </c>
      <c r="C8" s="8" t="n">
        <v>1</v>
      </c>
      <c r="D8" t="inlineStr">
        <is>
          <t>nr</t>
        </is>
      </c>
      <c r="E8" s="8" t="n">
        <v>753.29</v>
      </c>
      <c r="F8" s="8" t="n">
        <v>113.56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280 per window + 420/m2 (base on the window line); accessories GBP 12.43 incl.</t>
        </is>
      </c>
    </row>
    <row r="9">
      <c r="A9" t="inlineStr">
        <is>
          <t>7.6</t>
        </is>
      </c>
      <c r="B9" s="2" t="inlineStr">
        <is>
          <t>L1-W12 Alu-clad timber window 1,200 x 914 S.O., RAL 7016, DGU, trickle vent, handles, aluminium cill; illbruck ME110 internal membrane (4.2 m) + sealant</t>
        </is>
      </c>
      <c r="C9" s="8" t="n">
        <v>1</v>
      </c>
      <c r="D9" t="inlineStr">
        <is>
          <t>nr</t>
        </is>
      </c>
      <c r="E9" s="8" t="n">
        <v>753.29</v>
      </c>
      <c r="F9" s="8" t="n">
        <v>113.56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280 per window + 420/m2 (base on the window line); accessories GBP 12.43 incl.</t>
        </is>
      </c>
    </row>
    <row r="10">
      <c r="A10" t="inlineStr">
        <is>
          <t>7.7</t>
        </is>
      </c>
      <c r="B10" s="2" t="inlineStr">
        <is>
          <t>L1-W13 Alu-clad timber window 900 x 914 S.O., RAL 7016, DGU, trickle vent, handles, aluminium cill; illbruck ME110 internal membrane (3.6 m) + sealant</t>
        </is>
      </c>
      <c r="C10" s="8" t="n">
        <v>1</v>
      </c>
      <c r="D10" t="inlineStr">
        <is>
          <t>nr</t>
        </is>
      </c>
      <c r="E10" s="8" t="n">
        <v>636.46</v>
      </c>
      <c r="F10" s="8" t="n">
        <v>111.86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280 per window + 420/m2 (base on the window line); accessories GBP 10.82 incl.</t>
        </is>
      </c>
    </row>
    <row r="11">
      <c r="A11" t="inlineStr">
        <is>
          <t>7.8</t>
        </is>
      </c>
      <c r="B11" s="2" t="inlineStr">
        <is>
          <t>L1-W14 Alu-clad timber window 600 x 914 S.O., RAL 7016, DGU, trickle vent, handles, aluminium cill; illbruck ME110 internal membrane (3.0 m) + sealant</t>
        </is>
      </c>
      <c r="C11" s="8" t="n">
        <v>1</v>
      </c>
      <c r="D11" t="inlineStr">
        <is>
          <t>nr</t>
        </is>
      </c>
      <c r="E11" s="8" t="n">
        <v>519.65</v>
      </c>
      <c r="F11" s="8" t="n">
        <v>110.16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280 per window + 420/m2 (base on the window line); accessories GBP 9.22 incl.</t>
        </is>
      </c>
    </row>
    <row r="12">
      <c r="H12" s="4" t="inlineStr">
        <is>
          <t>Bill total</t>
        </is>
      </c>
      <c r="I12" s="7">
        <f>SUM(I4:I11)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4 double sockets + 4 LED battens, sub-board, short feed, test + cert</t>
        </is>
      </c>
      <c r="C4" s="8" t="n">
        <v>1</v>
      </c>
      <c r="D4" t="inlineStr">
        <is>
          <t>item</t>
        </is>
      </c>
      <c r="E4" s="8" t="n">
        <v>760</v>
      </c>
      <c r="F4" s="8" t="n">
        <v>680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4 + 4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DG-T04 Type 04 - Brick two-storey double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2026-10-29T14:20:18Z</dcterms:created>
  <dcterms:modified xmlns:dcterms="http://purl.org/dc/terms/" xmlns:xsi="http://www.w3.org/2001/XMLSchema-instance" xsi:type="dcterms:W3CDTF">2026-10-29T14:20:18Z</dcterms:modified>
</cp:coreProperties>
</file>