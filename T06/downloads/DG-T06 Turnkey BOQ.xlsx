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Bill 1" sheetId="2" state="visible" r:id="rId2"/>
    <sheet xmlns:r="http://schemas.openxmlformats.org/officeDocument/2006/relationships" name="Bill 2" sheetId="3" state="visible" r:id="rId3"/>
    <sheet xmlns:r="http://schemas.openxmlformats.org/officeDocument/2006/relationships" name="Bill 3" sheetId="4" state="visible" r:id="rId4"/>
    <sheet xmlns:r="http://schemas.openxmlformats.org/officeDocument/2006/relationships" name="Bill 4" sheetId="5" state="visible" r:id="rId5"/>
    <sheet xmlns:r="http://schemas.openxmlformats.org/officeDocument/2006/relationships" name="Bill 5" sheetId="6" state="visible" r:id="rId6"/>
    <sheet xmlns:r="http://schemas.openxmlformats.org/officeDocument/2006/relationships" name="Bill 6" sheetId="7" state="visible" r:id="rId7"/>
    <sheet xmlns:r="http://schemas.openxmlformats.org/officeDocument/2006/relationships" name="Bill 7" sheetId="8" state="visible" r:id="rId8"/>
    <sheet xmlns:r="http://schemas.openxmlformats.org/officeDocument/2006/relationships" name="Bill 8" sheetId="9" state="visible" r:id="rId9"/>
    <sheet xmlns:r="http://schemas.openxmlformats.org/officeDocument/2006/relationships" name="Bill 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4C2"/>
      </patternFill>
    </fill>
    <fill>
      <patternFill patternType="solid">
        <fgColor rgb="002F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4" fontId="0" fillId="0" borderId="0" pivotButton="0" quotePrefix="0" xfId="0"/>
    <xf numFmtId="4" fontId="2" fillId="0" borderId="0" pivotButton="0" quotePrefix="0" xfId="0"/>
    <xf numFmtId="4" fontId="0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22" customWidth="1" min="1" max="1"/>
    <col width="62" customWidth="1" min="2" max="2"/>
    <col width="9" customWidth="1" min="3" max="3"/>
    <col width="9" customWidth="1" min="4" max="4"/>
    <col width="13" customWidth="1" min="5" max="5"/>
    <col width="13" customWidth="1" min="6" max="6"/>
    <col width="12" customWidth="1" min="7" max="7"/>
    <col width="12" customWidth="1" min="8" max="8"/>
    <col width="12" customWidth="1" min="9" max="9"/>
    <col width="70" customWidth="1" min="10" max="10"/>
  </cols>
  <sheetData>
    <row r="1">
      <c r="A1" s="1" t="inlineStr">
        <is>
          <t>DG-T06 Type 06 - Rendered double garage - turnkey kit price + BOQ (Leeds / Yorkshire, ex VAT)</t>
        </is>
      </c>
    </row>
    <row r="2" ht="45" customHeight="1">
      <c r="A2" s="2" t="inlineStr">
        <is>
          <t>SUPPLY SCOPE: the Nudura ICF formwork + accessories (section A) are our FIXED price. Every other package (section B) is the turnkey-kit BOQ at indicative Leeds / Yorkshire Q4 2026 rates - supplied in good faith, every rate editable, to be checked by the relevant professional and priced by the contractor. All figures ex VAT unless stated. QUOTATION - NOT FOR CONSTRUCTION.</t>
        </is>
      </c>
    </row>
    <row r="4">
      <c r="A4" t="inlineStr">
        <is>
          <t>Install rates built from GBP/h</t>
        </is>
      </c>
      <c r="B4" t="n">
        <v>34</v>
      </c>
    </row>
    <row r="5">
      <c r="A5" t="inlineStr">
        <is>
          <t>OH&amp;P %</t>
        </is>
      </c>
      <c r="B5" s="3" t="n">
        <v>15</v>
      </c>
    </row>
    <row r="6">
      <c r="A6" t="inlineStr">
        <is>
          <t>Contingency %</t>
        </is>
      </c>
      <c r="B6" s="3" t="n">
        <v>10</v>
      </c>
    </row>
    <row r="7">
      <c r="A7" t="inlineStr">
        <is>
          <t>VAT %</t>
        </is>
      </c>
      <c r="B7" s="3" t="n">
        <v>20</v>
      </c>
    </row>
    <row r="9">
      <c r="A9" s="4" t="inlineStr">
        <is>
          <t>A. NUDURA SUPPLY - FIXED PRICE (BuildEase / Tremco CPG)</t>
        </is>
      </c>
    </row>
    <row r="10">
      <c r="A10" s="5" t="inlineStr">
        <is>
          <t>Item</t>
        </is>
      </c>
      <c r="B10" s="5" t="inlineStr">
        <is>
          <t>SKU</t>
        </is>
      </c>
      <c r="C10" s="5" t="inlineStr">
        <is>
          <t>Qty</t>
        </is>
      </c>
      <c r="D10" s="5" t="inlineStr">
        <is>
          <t>Unit</t>
        </is>
      </c>
      <c r="E10" s="5" t="inlineStr">
        <is>
          <t>Order</t>
        </is>
      </c>
      <c r="F10" s="5" t="inlineStr">
        <is>
          <t>Rate</t>
        </is>
      </c>
      <c r="G10" s="5" t="inlineStr">
        <is>
          <t>Per</t>
        </is>
      </c>
      <c r="H10" s="5" t="inlineStr">
        <is>
          <t>Total</t>
        </is>
      </c>
      <c r="I10" s="5" t="inlineStr">
        <is>
          <t>Note</t>
        </is>
      </c>
    </row>
    <row r="11">
      <c r="A11" t="inlineStr">
        <is>
          <t>Nudura 6in Standard straight form (pre-cut)</t>
        </is>
      </c>
      <c r="B11" t="inlineStr">
        <is>
          <t>NUS-I0096-06-PC</t>
        </is>
      </c>
      <c r="C11" s="6" t="n">
        <v>58</v>
      </c>
      <c r="D11" t="inlineStr">
        <is>
          <t>nr</t>
        </is>
      </c>
      <c r="E11" t="inlineStr">
        <is>
          <t>20 x 3</t>
        </is>
      </c>
      <c r="F11" s="6" t="n">
        <v>149.37</v>
      </c>
      <c r="G11" t="inlineStr">
        <is>
          <t>box of 3</t>
        </is>
      </c>
      <c r="H11" s="6" t="n">
        <v>2987.4</v>
      </c>
      <c r="I11" t="inlineStr">
        <is>
          <t>every form from the populated model, Nudura Bond, no stack joints</t>
        </is>
      </c>
    </row>
    <row r="12">
      <c r="A12" t="inlineStr">
        <is>
          <t>Nudura 6in Standard 90 deg corner form (pre-cut)</t>
        </is>
      </c>
      <c r="B12" t="inlineStr">
        <is>
          <t>NUS-I0090-06-PC</t>
        </is>
      </c>
      <c r="C12" s="6" t="n">
        <v>20</v>
      </c>
      <c r="D12" t="inlineStr">
        <is>
          <t>nr</t>
        </is>
      </c>
      <c r="E12" t="inlineStr">
        <is>
          <t>4 x 6</t>
        </is>
      </c>
      <c r="F12" s="6" t="n">
        <v>154.41</v>
      </c>
      <c r="G12" t="inlineStr">
        <is>
          <t>box of 6</t>
        </is>
      </c>
      <c r="H12" s="6" t="n">
        <v>617.64</v>
      </c>
      <c r="I12" t="inlineStr"/>
    </row>
    <row r="13">
      <c r="A13" t="inlineStr">
        <is>
          <t>End caps 152 mm (6in) - opening jambs</t>
        </is>
      </c>
      <c r="B13" t="inlineStr">
        <is>
          <t>NUS-A0ECF-06</t>
        </is>
      </c>
      <c r="C13" s="6" t="n">
        <v>28</v>
      </c>
      <c r="D13" t="inlineStr">
        <is>
          <t>nr</t>
        </is>
      </c>
      <c r="E13" t="inlineStr">
        <is>
          <t>1 x 40</t>
        </is>
      </c>
      <c r="F13" s="6" t="n">
        <v>105.84</v>
      </c>
      <c r="G13" t="inlineStr">
        <is>
          <t>box of 40</t>
        </is>
      </c>
      <c r="H13" s="6" t="n">
        <v>105.84</v>
      </c>
      <c r="I13" t="inlineStr"/>
    </row>
    <row r="14">
      <c r="A14" t="inlineStr">
        <is>
          <t>Lintel closures 152 mm (6in) - heads + sills</t>
        </is>
      </c>
      <c r="B14" t="inlineStr">
        <is>
          <t>NUS-PLINT-06</t>
        </is>
      </c>
      <c r="C14" s="6" t="n">
        <v>42</v>
      </c>
      <c r="D14" t="inlineStr">
        <is>
          <t>nr</t>
        </is>
      </c>
      <c r="E14" t="inlineStr">
        <is>
          <t>1 x 60</t>
        </is>
      </c>
      <c r="F14" s="6" t="n">
        <v>181.44</v>
      </c>
      <c r="G14" t="inlineStr">
        <is>
          <t>box of 60</t>
        </is>
      </c>
      <c r="H14" s="6" t="n">
        <v>181.44</v>
      </c>
      <c r="I14" t="inlineStr">
        <is>
          <t>3 per lintel piece</t>
        </is>
      </c>
    </row>
    <row r="15">
      <c r="A15" t="inlineStr">
        <is>
          <t>Spray foam (1 can per 22 forms)</t>
        </is>
      </c>
      <c r="B15" t="inlineStr">
        <is>
          <t>NUS-SF-BOX</t>
        </is>
      </c>
      <c r="C15" s="6" t="n">
        <v>4</v>
      </c>
      <c r="D15" t="inlineStr">
        <is>
          <t>nr</t>
        </is>
      </c>
      <c r="E15" t="inlineStr">
        <is>
          <t>1 x 12</t>
        </is>
      </c>
      <c r="F15" s="6" t="n">
        <v>75.59999999999999</v>
      </c>
      <c r="G15" t="inlineStr">
        <is>
          <t>box of 12</t>
        </is>
      </c>
      <c r="H15" s="6" t="n">
        <v>75.59999999999999</v>
      </c>
      <c r="I15" t="inlineStr"/>
    </row>
    <row r="16">
      <c r="A16" t="inlineStr">
        <is>
          <t>Fibre tape (1 roll per 50 forms)</t>
        </is>
      </c>
      <c r="B16" t="inlineStr">
        <is>
          <t>NUS-FT-BOX</t>
        </is>
      </c>
      <c r="C16" s="6" t="n">
        <v>2</v>
      </c>
      <c r="D16" t="inlineStr">
        <is>
          <t>nr</t>
        </is>
      </c>
      <c r="E16" t="inlineStr">
        <is>
          <t>1 x 10</t>
        </is>
      </c>
      <c r="F16" s="6" t="n">
        <v>52.5</v>
      </c>
      <c r="G16" t="inlineStr">
        <is>
          <t>box of 10</t>
        </is>
      </c>
      <c r="H16" s="6" t="n">
        <v>52.5</v>
      </c>
      <c r="I16" t="inlineStr"/>
    </row>
    <row r="17">
      <c r="A17" t="inlineStr">
        <is>
          <t>Protective tape</t>
        </is>
      </c>
      <c r="B17" t="inlineStr">
        <is>
          <t>NUS-PT-BOX</t>
        </is>
      </c>
      <c r="C17" s="6" t="n">
        <v>1</v>
      </c>
      <c r="D17" t="inlineStr">
        <is>
          <t>nr</t>
        </is>
      </c>
      <c r="E17" t="inlineStr">
        <is>
          <t>1 x 4</t>
        </is>
      </c>
      <c r="F17" s="6" t="n">
        <v>33.6</v>
      </c>
      <c r="G17" t="inlineStr">
        <is>
          <t>box of 4</t>
        </is>
      </c>
      <c r="H17" s="6" t="n">
        <v>33.6</v>
      </c>
      <c r="I17" t="inlineStr"/>
    </row>
    <row r="18">
      <c r="A18" t="inlineStr">
        <is>
          <t>Bracing + alignment hire (1 stillage x 1 wk)</t>
        </is>
      </c>
      <c r="B18" t="inlineStr">
        <is>
          <t>ALIGN</t>
        </is>
      </c>
      <c r="C18" s="6" t="n">
        <v>1</v>
      </c>
      <c r="D18" t="inlineStr">
        <is>
          <t>stillage</t>
        </is>
      </c>
      <c r="E18" t="inlineStr">
        <is>
          <t>1 weeks</t>
        </is>
      </c>
      <c r="F18" s="6" t="n">
        <v>80</v>
      </c>
      <c r="G18" t="inlineStr">
        <is>
          <t>stillage</t>
        </is>
      </c>
      <c r="H18" s="6" t="n">
        <v>80</v>
      </c>
      <c r="I18" t="inlineStr">
        <is>
          <t>hire = the ICF install only: 1 d install + 1 pour + 1 cure + 1 strike = 4 working days -&gt; 1 wk</t>
        </is>
      </c>
    </row>
    <row r="19">
      <c r="A19" t="inlineStr">
        <is>
          <t>BuildEase pre-cut service (setup + per form + cuts)</t>
        </is>
      </c>
      <c r="B19" t="inlineStr">
        <is>
          <t>PRECUT</t>
        </is>
      </c>
      <c r="C19" s="6" t="n">
        <v>78</v>
      </c>
      <c r="D19" t="inlineStr">
        <is>
          <t>forms</t>
        </is>
      </c>
      <c r="E19" t="inlineStr">
        <is>
          <t>44 cut forms</t>
        </is>
      </c>
      <c r="G19" t="inlineStr"/>
      <c r="H19" s="6" t="n">
        <v>433</v>
      </c>
      <c r="I19" t="inlineStr">
        <is>
          <t>GBP 350 setup + 0.50 / form + GBP 1 / m cut (standard type - modelling included)</t>
        </is>
      </c>
    </row>
    <row r="20">
      <c r="A20" t="inlineStr">
        <is>
          <t>Haulage - Tankersley S75 3DH to Leeds (&lt;= 40 miles, 1 artic)</t>
        </is>
      </c>
      <c r="B20" t="inlineStr">
        <is>
          <t>HAUL</t>
        </is>
      </c>
      <c r="C20" s="6" t="n">
        <v>1</v>
      </c>
      <c r="D20" t="inlineStr">
        <is>
          <t>load</t>
        </is>
      </c>
      <c r="E20" t="inlineStr"/>
      <c r="F20" s="6" t="n">
        <v>335.27</v>
      </c>
      <c r="G20" t="inlineStr">
        <is>
          <t>load</t>
        </is>
      </c>
      <c r="H20" s="6" t="n">
        <v>335.27</v>
      </c>
      <c r="I20" t="inlineStr"/>
    </row>
    <row r="21">
      <c r="G21" s="4" t="inlineStr">
        <is>
          <t>Supply total</t>
        </is>
      </c>
      <c r="H21" s="7">
        <f>SUM(H11:H20)</f>
        <v/>
      </c>
    </row>
    <row r="22"/>
    <row r="23">
      <c r="A23" s="4" t="inlineStr">
        <is>
          <t>B. TURNKEY-KIT BOQ - SUMMARY OF BILLS (each bill on its own sheet; edit the yellow cells there)</t>
        </is>
      </c>
    </row>
    <row r="24">
      <c r="B24" t="inlineStr">
        <is>
          <t>Bill 1 - Preliminaries</t>
        </is>
      </c>
      <c r="I24" s="6">
        <f>'Bill 1'!I6</f>
        <v/>
      </c>
    </row>
    <row r="25">
      <c r="B25" t="inlineStr">
        <is>
          <t>Bill 2 - Groundworks + substructure</t>
        </is>
      </c>
      <c r="I25" s="6">
        <f>'Bill 2'!I14</f>
        <v/>
      </c>
    </row>
    <row r="26">
      <c r="B26" t="inlineStr">
        <is>
          <t>Bill 3 - ICF walls (install + concrete)</t>
        </is>
      </c>
      <c r="I26" s="6">
        <f>'Bill 3'!I10</f>
        <v/>
      </c>
    </row>
    <row r="27">
      <c r="B27" t="inlineStr">
        <is>
          <t>Bill 4 - Roof structure + floors (carpentry: supply + install incl. fixings)</t>
        </is>
      </c>
      <c r="I27" s="6">
        <f>'Bill 4'!I17</f>
        <v/>
      </c>
    </row>
    <row r="28">
      <c r="B28" t="inlineStr">
        <is>
          <t>Bill 5 - Roof coverings + rainwater goods</t>
        </is>
      </c>
      <c r="I28" s="6">
        <f>'Bill 5'!I13</f>
        <v/>
      </c>
    </row>
    <row r="29">
      <c r="B29" t="inlineStr">
        <is>
          <t>Bill 6 - External wall finish</t>
        </is>
      </c>
      <c r="I29" s="6">
        <f>'Bill 6'!I10</f>
        <v/>
      </c>
    </row>
    <row r="30">
      <c r="B30" t="inlineStr">
        <is>
          <t>Bill 7 - Opening schedule (doors + windows)</t>
        </is>
      </c>
      <c r="I30" s="6">
        <f>'Bill 7'!I8</f>
        <v/>
      </c>
    </row>
    <row r="31">
      <c r="B31" t="inlineStr">
        <is>
          <t>Bill 8 - Electrical installation</t>
        </is>
      </c>
      <c r="I31" s="6">
        <f>'Bill 8'!I5</f>
        <v/>
      </c>
    </row>
    <row r="32">
      <c r="B32" t="inlineStr">
        <is>
          <t>Bill 9 - Design + approvals (provisional)</t>
        </is>
      </c>
      <c r="I32" s="6">
        <f>'Bill 9'!I7</f>
        <v/>
      </c>
    </row>
    <row r="33">
      <c r="H33" s="4" t="inlineStr">
        <is>
          <t>BOQ net</t>
        </is>
      </c>
      <c r="I33" s="7">
        <f>I24+I25+I26+I27+I28+I29+I30+I31+I32</f>
        <v/>
      </c>
    </row>
    <row r="34">
      <c r="H34" t="inlineStr">
        <is>
          <t>BOQ + OH&amp;P</t>
        </is>
      </c>
      <c r="I34" s="6">
        <f>I33*(1+$B$5/100)</f>
        <v/>
      </c>
    </row>
    <row r="35"/>
    <row r="36">
      <c r="H36" s="4" t="inlineStr">
        <is>
          <t>TOTAL NET (A + B)</t>
        </is>
      </c>
      <c r="I36" s="7">
        <f>H21+I34</f>
        <v/>
      </c>
    </row>
    <row r="37">
      <c r="H37" t="inlineStr">
        <is>
          <t>+ contingency</t>
        </is>
      </c>
      <c r="I37" s="6">
        <f>I36*(1+$B$6/100)</f>
        <v/>
      </c>
    </row>
    <row r="38">
      <c r="H38" s="4" t="inlineStr">
        <is>
          <t>TOTAL inc VAT</t>
        </is>
      </c>
      <c r="I38" s="7">
        <f>I37*(1+$B$7/100)</f>
        <v/>
      </c>
    </row>
    <row r="39"/>
    <row r="40">
      <c r="A40" s="4" t="inlineStr">
        <is>
          <t>C. PROGRAMME (working days)</t>
        </is>
      </c>
    </row>
    <row r="41">
      <c r="B41" t="inlineStr">
        <is>
          <t>Site setup + setting out</t>
        </is>
      </c>
      <c r="C41" s="8" t="n">
        <v>0.5</v>
      </c>
      <c r="D41" t="inlineStr">
        <is>
          <t>days</t>
        </is>
      </c>
      <c r="J41" t="inlineStr">
        <is>
          <t>welfare, skip, set out the raft</t>
        </is>
      </c>
    </row>
    <row r="42">
      <c r="B42" t="inlineStr">
        <is>
          <t>Below ground - excavation, muck away, drainage</t>
        </is>
      </c>
      <c r="C42" s="8" t="n">
        <v>2.7</v>
      </c>
      <c r="D42" t="inlineStr">
        <is>
          <t>days</t>
        </is>
      </c>
      <c r="J42" t="inlineStr">
        <is>
          <t>2 operatives + excavator</t>
        </is>
      </c>
    </row>
    <row r="43">
      <c r="B43" t="inlineStr">
        <is>
          <t>Footings / substructure - hardcore, DPM, mesh, starter bars</t>
        </is>
      </c>
      <c r="C43" s="8" t="n">
        <v>1</v>
      </c>
      <c r="D43" t="inlineStr">
        <is>
          <t>days</t>
        </is>
      </c>
      <c r="J43" t="inlineStr"/>
    </row>
    <row r="44">
      <c r="B44" t="inlineStr">
        <is>
          <t>Raft pour + power float</t>
        </is>
      </c>
      <c r="C44" s="8" t="n">
        <v>1</v>
      </c>
      <c r="D44" t="inlineStr">
        <is>
          <t>days</t>
        </is>
      </c>
      <c r="J44" t="inlineStr">
        <is>
          <t>pump on site</t>
        </is>
      </c>
    </row>
    <row r="45">
      <c r="B45" t="inlineStr">
        <is>
          <t>Raft cure before the ICF</t>
        </is>
      </c>
      <c r="C45" s="8" t="n">
        <v>3</v>
      </c>
      <c r="D45" t="inlineStr">
        <is>
          <t>days</t>
        </is>
      </c>
      <c r="J45" t="inlineStr">
        <is>
          <t>minimum before standing the forms (7 days before full load)</t>
        </is>
      </c>
    </row>
    <row r="46">
      <c r="B46" t="inlineStr">
        <is>
          <t>ICF install - stand forms, rebar, bracing + alignment</t>
        </is>
      </c>
      <c r="C46" s="8" t="n">
        <v>1</v>
      </c>
      <c r="D46" t="inlineStr">
        <is>
          <t>days</t>
        </is>
      </c>
      <c r="J46" t="inlineStr">
        <is>
          <t>3-man gang, 4.3 min / form</t>
        </is>
      </c>
    </row>
    <row r="47">
      <c r="B47" t="inlineStr">
        <is>
          <t>ICF pour (walls + gables)</t>
        </is>
      </c>
      <c r="C47" s="8" t="n">
        <v>1</v>
      </c>
      <c r="D47" t="inlineStr">
        <is>
          <t>days</t>
        </is>
      </c>
      <c r="J47" t="inlineStr">
        <is>
          <t>4-man pour gang + pump</t>
        </is>
      </c>
    </row>
    <row r="48">
      <c r="B48" t="inlineStr">
        <is>
          <t>ICF cure</t>
        </is>
      </c>
      <c r="C48" s="8" t="n">
        <v>1</v>
      </c>
      <c r="D48" t="inlineStr">
        <is>
          <t>days</t>
        </is>
      </c>
      <c r="J48" t="inlineStr"/>
    </row>
    <row r="49">
      <c r="B49" t="inlineStr">
        <is>
          <t>Strike the bracing + alignment</t>
        </is>
      </c>
      <c r="C49" s="8" t="n">
        <v>1</v>
      </c>
      <c r="D49" t="inlineStr">
        <is>
          <t>days</t>
        </is>
      </c>
      <c r="J49" t="inlineStr">
        <is>
          <t>alignment hire = 4 working days -&gt; 1 wk</t>
        </is>
      </c>
    </row>
    <row r="50">
      <c r="B50" t="inlineStr">
        <is>
          <t>Roof structure</t>
        </is>
      </c>
      <c r="C50" s="8" t="n">
        <v>2.1</v>
      </c>
      <c r="D50" t="inlineStr">
        <is>
          <t>days</t>
        </is>
      </c>
      <c r="J50" t="inlineStr">
        <is>
          <t>trusses / rafters + ridge, ladders</t>
        </is>
      </c>
    </row>
    <row r="51">
      <c r="B51" t="inlineStr">
        <is>
          <t>Roof coverings + rainwater goods</t>
        </is>
      </c>
      <c r="C51" s="8" t="n">
        <v>2.6</v>
      </c>
      <c r="D51" t="inlineStr">
        <is>
          <t>days</t>
        </is>
      </c>
      <c r="J51" t="inlineStr">
        <is>
          <t>2 roofers</t>
        </is>
      </c>
    </row>
    <row r="52">
      <c r="B52" t="inlineStr">
        <is>
          <t>Doors, windows + opening tapes</t>
        </is>
      </c>
      <c r="C52" s="8" t="n">
        <v>1.3</v>
      </c>
      <c r="D52" t="inlineStr">
        <is>
          <t>days</t>
        </is>
      </c>
      <c r="J52" t="inlineStr"/>
    </row>
    <row r="53">
      <c r="B53" t="inlineStr">
        <is>
          <t>External finish</t>
        </is>
      </c>
      <c r="C53" s="8" t="n">
        <v>2.8</v>
      </c>
      <c r="D53" t="inlineStr">
        <is>
          <t>days</t>
        </is>
      </c>
      <c r="J53" t="inlineStr">
        <is>
          <t>2 operatives (Dryvit - weather dependent, &gt;= 5 C)</t>
        </is>
      </c>
    </row>
    <row r="54">
      <c r="B54" t="inlineStr">
        <is>
          <t>Electrics + test</t>
        </is>
      </c>
      <c r="C54" s="8" t="n">
        <v>2.5</v>
      </c>
      <c r="D54" t="inlineStr">
        <is>
          <t>days</t>
        </is>
      </c>
      <c r="J54" t="inlineStr">
        <is>
          <t>1 electrician</t>
        </is>
      </c>
    </row>
    <row r="55">
      <c r="B55" t="inlineStr">
        <is>
          <t>Snag + clean</t>
        </is>
      </c>
      <c r="C55" s="8" t="n">
        <v>0.5</v>
      </c>
      <c r="D55" t="inlineStr">
        <is>
          <t>days</t>
        </is>
      </c>
      <c r="J55" t="inlineStr"/>
    </row>
    <row r="56">
      <c r="B56" s="4" t="inlineStr">
        <is>
          <t>Total</t>
        </is>
      </c>
      <c r="C56" s="7">
        <f>SUM(C41:C55)</f>
        <v/>
      </c>
    </row>
  </sheetData>
  <mergeCells count="1"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DG-T06 Type 06 - Rendered double garage - Bill 1 - Preliminaries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1.1</t>
        </is>
      </c>
      <c r="B4" s="2" t="inlineStr">
        <is>
          <t>Site setup, welfare, skip, setting out</t>
        </is>
      </c>
      <c r="C4" s="8" t="n">
        <v>1</v>
      </c>
      <c r="D4" t="inlineStr">
        <is>
          <t>item</t>
        </is>
      </c>
      <c r="E4" s="8" t="n">
        <v>650</v>
      </c>
      <c r="F4" s="8" t="n">
        <v>272</v>
      </c>
      <c r="G4" s="6">
        <f>C4*E4</f>
        <v/>
      </c>
      <c r="H4" s="6">
        <f>C4*F4</f>
        <v/>
      </c>
      <c r="I4" s="6">
        <f>G4+H4</f>
        <v/>
      </c>
      <c r="J4" t="inlineStr">
        <is>
          <t>NGR prelims 950 - site setup, welfare, skip, setting out (single garage)</t>
        </is>
      </c>
    </row>
    <row r="5">
      <c r="A5" t="inlineStr">
        <is>
          <t>1.2</t>
        </is>
      </c>
      <c r="B5" s="2" t="inlineStr">
        <is>
          <t>Access scaffold / towers</t>
        </is>
      </c>
      <c r="C5" s="8" t="n">
        <v>1</v>
      </c>
      <c r="D5" t="inlineStr">
        <is>
          <t>item</t>
        </is>
      </c>
      <c r="E5" s="8" t="n">
        <v>480</v>
      </c>
      <c r="F5" s="8" t="n">
        <v>136</v>
      </c>
      <c r="G5" s="6">
        <f>C5*E5</f>
        <v/>
      </c>
      <c r="H5" s="6">
        <f>C5*F5</f>
        <v/>
      </c>
      <c r="I5" s="6">
        <f>G5+H5</f>
        <v/>
      </c>
      <c r="J5" t="inlineStr">
        <is>
          <t>MKT tower / trestle hire 4 wk, single storey</t>
        </is>
      </c>
    </row>
    <row r="6">
      <c r="H6" s="4" t="inlineStr">
        <is>
          <t>Bill total</t>
        </is>
      </c>
      <c r="I6" s="7">
        <f>SUM(I4:I5)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DG-T06 Type 06 - Rendered double garage - Bill 2 - Groundworks + substructure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2.1</t>
        </is>
      </c>
      <c r="B4" s="2" t="inlineStr">
        <is>
          <t>Excavate raft + thickened edge (reduce level 402 + edge to 500)</t>
        </is>
      </c>
      <c r="C4" s="8" t="n">
        <v>17.32</v>
      </c>
      <c r="D4" t="inlineStr">
        <is>
          <t>m3</t>
        </is>
      </c>
      <c r="E4" s="8" t="n">
        <v>18</v>
      </c>
      <c r="F4" s="8" t="n">
        <v>11.9</v>
      </c>
      <c r="G4" s="6">
        <f>C4*E4</f>
        <v/>
      </c>
      <c r="H4" s="6">
        <f>C4*F4</f>
        <v/>
      </c>
      <c r="I4" s="6">
        <f>G4+H4</f>
        <v/>
      </c>
      <c r="J4" t="inlineStr">
        <is>
          <t>NGR dig 32/m3 split plant / labour</t>
        </is>
      </c>
    </row>
    <row r="5">
      <c r="A5" t="inlineStr">
        <is>
          <t>2.2</t>
        </is>
      </c>
      <c r="B5" s="2" t="inlineStr">
        <is>
          <t>Muck away (bulked x1.25)</t>
        </is>
      </c>
      <c r="C5" s="8" t="n">
        <v>21.64</v>
      </c>
      <c r="D5" t="inlineStr">
        <is>
          <t>m3</t>
        </is>
      </c>
      <c r="E5" s="8" t="n">
        <v>52</v>
      </c>
      <c r="F5" s="8" t="n">
        <v>0</v>
      </c>
      <c r="G5" s="6">
        <f>C5*E5</f>
        <v/>
      </c>
      <c r="H5" s="6">
        <f>C5*F5</f>
        <v/>
      </c>
      <c r="I5" s="6">
        <f>G5+H5</f>
        <v/>
      </c>
      <c r="J5" t="inlineStr">
        <is>
          <t>NGR</t>
        </is>
      </c>
    </row>
    <row r="6">
      <c r="A6" t="inlineStr">
        <is>
          <t>2.3</t>
        </is>
      </c>
      <c r="B6" s="2" t="inlineStr">
        <is>
          <t>RWG drainage - short run to soakaway / connection</t>
        </is>
      </c>
      <c r="C6" s="8" t="n">
        <v>1</v>
      </c>
      <c r="D6" t="inlineStr">
        <is>
          <t>item</t>
        </is>
      </c>
      <c r="E6" s="8" t="n">
        <v>420</v>
      </c>
      <c r="F6" s="8" t="n">
        <v>340</v>
      </c>
      <c r="G6" s="6">
        <f>C6*E6</f>
        <v/>
      </c>
      <c r="H6" s="6">
        <f>C6*F6</f>
        <v/>
      </c>
      <c r="I6" s="6">
        <f>G6+H6</f>
        <v/>
      </c>
      <c r="J6" t="inlineStr">
        <is>
          <t>MKT RWG to soakaway / short connection</t>
        </is>
      </c>
    </row>
    <row r="7">
      <c r="A7" t="inlineStr">
        <is>
          <t>2.4</t>
        </is>
      </c>
      <c r="B7" s="2" t="inlineStr">
        <is>
          <t>MOT Type 1 hardcore 150, compacted</t>
        </is>
      </c>
      <c r="C7" s="8" t="n">
        <v>3.86</v>
      </c>
      <c r="D7" t="inlineStr">
        <is>
          <t>m3</t>
        </is>
      </c>
      <c r="E7" s="8" t="n">
        <v>48</v>
      </c>
      <c r="F7" s="8" t="n">
        <v>17</v>
      </c>
      <c r="G7" s="6">
        <f>C7*E7</f>
        <v/>
      </c>
      <c r="H7" s="6">
        <f>C7*F7</f>
        <v/>
      </c>
      <c r="I7" s="6">
        <f>G7+H7</f>
        <v/>
      </c>
      <c r="J7" t="inlineStr">
        <is>
          <t>NGR MOT Type 1</t>
        </is>
      </c>
    </row>
    <row r="8">
      <c r="A8" t="inlineStr">
        <is>
          <t>2.5</t>
        </is>
      </c>
      <c r="B8" s="2" t="inlineStr">
        <is>
          <t>Sand blinding + 1200g DPM</t>
        </is>
      </c>
      <c r="C8" s="8" t="n">
        <v>43.34</v>
      </c>
      <c r="D8" t="inlineStr">
        <is>
          <t>m2</t>
        </is>
      </c>
      <c r="E8" s="8" t="n">
        <v>5.3</v>
      </c>
      <c r="F8" s="8" t="n">
        <v>2.04</v>
      </c>
      <c r="G8" s="6">
        <f>C8*E8</f>
        <v/>
      </c>
      <c r="H8" s="6">
        <f>C8*F8</f>
        <v/>
      </c>
      <c r="I8" s="6">
        <f>G8+H8</f>
        <v/>
      </c>
      <c r="J8" t="inlineStr">
        <is>
          <t>NGR DPM 1.8 + sand blinding 3.5</t>
        </is>
      </c>
    </row>
    <row r="9">
      <c r="A9" t="inlineStr">
        <is>
          <t>2.6</t>
        </is>
      </c>
      <c r="B9" s="2" t="inlineStr">
        <is>
          <t>A393 mesh top + bottom (laps incl.)</t>
        </is>
      </c>
      <c r="C9" s="8" t="n">
        <v>8</v>
      </c>
      <c r="D9" t="inlineStr">
        <is>
          <t>sheet</t>
        </is>
      </c>
      <c r="E9" s="8" t="n">
        <v>70</v>
      </c>
      <c r="F9" s="8" t="n">
        <v>11.9</v>
      </c>
      <c r="G9" s="6">
        <f>C9*E9</f>
        <v/>
      </c>
      <c r="H9" s="6">
        <f>C9*F9</f>
        <v/>
      </c>
      <c r="I9" s="6">
        <f>G9+H9</f>
        <v/>
      </c>
      <c r="J9" t="inlineStr">
        <is>
          <t>NGR A393 4.8 x 2.4</t>
        </is>
      </c>
    </row>
    <row r="10">
      <c r="A10" t="inlineStr">
        <is>
          <t>2.7</t>
        </is>
      </c>
      <c r="B10" s="2" t="inlineStr">
        <is>
          <t>Starter bars T12 @ 600 into the ICF + edge bars</t>
        </is>
      </c>
      <c r="C10" s="8" t="n">
        <v>0.13</v>
      </c>
      <c r="D10" t="inlineStr">
        <is>
          <t>t</t>
        </is>
      </c>
      <c r="E10" s="8" t="n">
        <v>1250</v>
      </c>
      <c r="F10" s="8" t="n">
        <v>952</v>
      </c>
      <c r="G10" s="6">
        <f>C10*E10</f>
        <v/>
      </c>
      <c r="H10" s="6">
        <f>C10*F10</f>
        <v/>
      </c>
      <c r="I10" s="6">
        <f>G10+H10</f>
        <v/>
      </c>
      <c r="J10" t="inlineStr">
        <is>
          <t>NGR rebar + fixing 28 h/t</t>
        </is>
      </c>
    </row>
    <row r="11">
      <c r="A11" t="inlineStr">
        <is>
          <t>2.8</t>
        </is>
      </c>
      <c r="B11" s="2" t="inlineStr">
        <is>
          <t>C32/40 raft concrete 200 + thickened edge</t>
        </is>
      </c>
      <c r="C11" s="8" t="n">
        <v>11.29</v>
      </c>
      <c r="D11" t="inlineStr">
        <is>
          <t>m3</t>
        </is>
      </c>
      <c r="E11" s="8" t="n">
        <v>152</v>
      </c>
      <c r="F11" s="8" t="n">
        <v>40.8</v>
      </c>
      <c r="G11" s="6">
        <f>C11*E11</f>
        <v/>
      </c>
      <c r="H11" s="6">
        <f>C11*F11</f>
        <v/>
      </c>
      <c r="I11" s="6">
        <f>G11+H11</f>
        <v/>
      </c>
      <c r="J11" t="inlineStr">
        <is>
          <t>NGR C32/40</t>
        </is>
      </c>
    </row>
    <row r="12">
      <c r="A12" t="inlineStr">
        <is>
          <t>2.9</t>
        </is>
      </c>
      <c r="B12" s="2" t="inlineStr">
        <is>
          <t>Concrete pump - raft pour</t>
        </is>
      </c>
      <c r="C12" s="8" t="n">
        <v>1</v>
      </c>
      <c r="D12" t="inlineStr">
        <is>
          <t>pour</t>
        </is>
      </c>
      <c r="E12" s="8" t="n">
        <v>650</v>
      </c>
      <c r="F12" s="8" t="n">
        <v>0</v>
      </c>
      <c r="G12" s="6">
        <f>C12*E12</f>
        <v/>
      </c>
      <c r="H12" s="6">
        <f>C12*F12</f>
        <v/>
      </c>
      <c r="I12" s="6">
        <f>G12+H12</f>
        <v/>
      </c>
      <c r="J12" t="inlineStr">
        <is>
          <t>NGR concrete pump per pour</t>
        </is>
      </c>
    </row>
    <row r="13">
      <c r="A13" t="inlineStr">
        <is>
          <t>2.10</t>
        </is>
      </c>
      <c r="B13" s="2" t="inlineStr">
        <is>
          <t>Power float finish (garage floor, fall to the door)</t>
        </is>
      </c>
      <c r="C13" s="8" t="n">
        <v>39.4</v>
      </c>
      <c r="D13" t="inlineStr">
        <is>
          <t>m2</t>
        </is>
      </c>
      <c r="E13" s="8" t="n">
        <v>1.5</v>
      </c>
      <c r="F13" s="8" t="n">
        <v>2.72</v>
      </c>
      <c r="G13" s="6">
        <f>C13*E13</f>
        <v/>
      </c>
      <c r="H13" s="6">
        <f>C13*F13</f>
        <v/>
      </c>
      <c r="I13" s="6">
        <f>G13+H13</f>
        <v/>
      </c>
      <c r="J13" t="inlineStr">
        <is>
          <t>MKT</t>
        </is>
      </c>
    </row>
    <row r="14">
      <c r="H14" s="4" t="inlineStr">
        <is>
          <t>Bill total</t>
        </is>
      </c>
      <c r="I14" s="7">
        <f>SUM(I4:I13)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DG-T06 Type 06 - Rendered double garage - Bill 3 - ICF walls (install + concrete)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3.1</t>
        </is>
      </c>
      <c r="B4" s="2" t="inlineStr">
        <is>
          <t>Stand the Nudura forms (78 forms, 4.3 min / form): set-out, bracing + alignment, rebar, end caps / lintels</t>
        </is>
      </c>
      <c r="C4" s="8" t="n">
        <v>1</v>
      </c>
      <c r="D4" t="inlineStr">
        <is>
          <t>gang-day</t>
        </is>
      </c>
      <c r="E4" s="8" t="n">
        <v>0</v>
      </c>
      <c r="F4" s="8" t="n">
        <v>816</v>
      </c>
      <c r="G4" s="6">
        <f>C4*E4</f>
        <v/>
      </c>
      <c r="H4" s="6">
        <f>C4*F4</f>
        <v/>
      </c>
      <c r="I4" s="6">
        <f>G4+H4</f>
        <v/>
      </c>
      <c r="J4" t="inlineStr">
        <is>
          <t>BOQ Builder 4.3 min per block x 3-man gang</t>
        </is>
      </c>
    </row>
    <row r="5">
      <c r="A5" t="inlineStr">
        <is>
          <t>3.2</t>
        </is>
      </c>
      <c r="B5" s="2" t="inlineStr">
        <is>
          <t>Pour the ICF core (walls + gables, one day), 4-man pour gang</t>
        </is>
      </c>
      <c r="C5" s="8" t="n">
        <v>1</v>
      </c>
      <c r="D5" t="inlineStr">
        <is>
          <t>gang-day</t>
        </is>
      </c>
      <c r="E5" s="8" t="n">
        <v>0</v>
      </c>
      <c r="F5" s="8" t="n">
        <v>1088</v>
      </c>
      <c r="G5" s="6">
        <f>C5*E5</f>
        <v/>
      </c>
      <c r="H5" s="6">
        <f>C5*F5</f>
        <v/>
      </c>
      <c r="I5" s="6">
        <f>G5+H5</f>
        <v/>
      </c>
      <c r="J5" t="inlineStr">
        <is>
          <t>BOQ Builder 4.3 min per block x 3-man gang</t>
        </is>
      </c>
    </row>
    <row r="6">
      <c r="A6" t="inlineStr">
        <is>
          <t>3.3</t>
        </is>
      </c>
      <c r="B6" s="2" t="inlineStr">
        <is>
          <t>Strike the bracing + alignment system (after 1 day cure)</t>
        </is>
      </c>
      <c r="C6" s="8" t="n">
        <v>1</v>
      </c>
      <c r="D6" t="inlineStr">
        <is>
          <t>gang-day</t>
        </is>
      </c>
      <c r="E6" s="8" t="n">
        <v>0</v>
      </c>
      <c r="F6" s="8" t="n">
        <v>816</v>
      </c>
      <c r="G6" s="6">
        <f>C6*E6</f>
        <v/>
      </c>
      <c r="H6" s="6">
        <f>C6*F6</f>
        <v/>
      </c>
      <c r="I6" s="6">
        <f>G6+H6</f>
        <v/>
      </c>
      <c r="J6" t="inlineStr">
        <is>
          <t>BOQ Builder 4.3 min per block x 3-man gang</t>
        </is>
      </c>
    </row>
    <row r="7">
      <c r="A7" t="inlineStr">
        <is>
          <t>3.4</t>
        </is>
      </c>
      <c r="B7" s="2" t="inlineStr">
        <is>
          <t>Wall reinforcement T12 (vertical @ 600, horizontal alternate courses) + lintel bars - supply (fixing in the install line)</t>
        </is>
      </c>
      <c r="C7" s="8" t="n">
        <v>0.22</v>
      </c>
      <c r="D7" t="inlineStr">
        <is>
          <t>t</t>
        </is>
      </c>
      <c r="E7" s="8" t="n">
        <v>1250</v>
      </c>
      <c r="F7" s="8" t="n">
        <v>0</v>
      </c>
      <c r="G7" s="6">
        <f>C7*E7</f>
        <v/>
      </c>
      <c r="H7" s="6">
        <f>C7*F7</f>
        <v/>
      </c>
      <c r="I7" s="6">
        <f>G7+H7</f>
        <v/>
      </c>
      <c r="J7" t="inlineStr">
        <is>
          <t>NGR rebar + fixing 28 h/t</t>
        </is>
      </c>
    </row>
    <row r="8">
      <c r="A8" t="inlineStr">
        <is>
          <t>3.5</t>
        </is>
      </c>
      <c r="B8" s="2" t="inlineStr">
        <is>
          <t>C32/40 core concrete 6in - supply (placing in the install line)</t>
        </is>
      </c>
      <c r="C8" s="8" t="n">
        <v>7.6</v>
      </c>
      <c r="D8" t="inlineStr">
        <is>
          <t>m3</t>
        </is>
      </c>
      <c r="E8" s="8" t="n">
        <v>152</v>
      </c>
      <c r="F8" s="8" t="n">
        <v>0</v>
      </c>
      <c r="G8" s="6">
        <f>C8*E8</f>
        <v/>
      </c>
      <c r="H8" s="6">
        <f>C8*F8</f>
        <v/>
      </c>
      <c r="I8" s="6">
        <f>G8+H8</f>
        <v/>
      </c>
      <c r="J8" t="inlineStr">
        <is>
          <t>NGR C32/40 + pour 1.2 h/m3</t>
        </is>
      </c>
    </row>
    <row r="9">
      <c r="A9" t="inlineStr">
        <is>
          <t>3.6</t>
        </is>
      </c>
      <c r="B9" s="2" t="inlineStr">
        <is>
          <t>Concrete pump - ICF pour</t>
        </is>
      </c>
      <c r="C9" s="8" t="n">
        <v>1</v>
      </c>
      <c r="D9" t="inlineStr">
        <is>
          <t>pour</t>
        </is>
      </c>
      <c r="E9" s="8" t="n">
        <v>650</v>
      </c>
      <c r="F9" s="8" t="n">
        <v>0</v>
      </c>
      <c r="G9" s="6">
        <f>C9*E9</f>
        <v/>
      </c>
      <c r="H9" s="6">
        <f>C9*F9</f>
        <v/>
      </c>
      <c r="I9" s="6">
        <f>G9+H9</f>
        <v/>
      </c>
      <c r="J9" t="inlineStr">
        <is>
          <t>NGR concrete pump per pour</t>
        </is>
      </c>
    </row>
    <row r="10">
      <c r="H10" s="4" t="inlineStr">
        <is>
          <t>Bill total</t>
        </is>
      </c>
      <c r="I10" s="7">
        <f>SUM(I4:I9)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DG-T06 Type 06 - Rendered double garage - Bill 4 - Roof structure + floors (carpentry: supply + install incl. fixings)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4.1</t>
        </is>
      </c>
      <c r="B4" s="2" t="inlineStr">
        <is>
          <t>Wall plate 47 x 150 C24 treated on the eaves walls (bedded)</t>
        </is>
      </c>
      <c r="C4" s="8" t="n">
        <v>12.15</v>
      </c>
      <c r="D4" t="inlineStr">
        <is>
          <t>m</t>
        </is>
      </c>
      <c r="E4" s="8" t="n">
        <v>5.6</v>
      </c>
      <c r="F4" s="8" t="n">
        <v>8.5</v>
      </c>
      <c r="G4" s="6">
        <f>C4*E4</f>
        <v/>
      </c>
      <c r="H4" s="6">
        <f>C4*F4</f>
        <v/>
      </c>
      <c r="I4" s="6">
        <f>G4+H4</f>
        <v/>
      </c>
      <c r="J4" t="inlineStr">
        <is>
          <t>NGR C24 47x150 4.25/m + straps / anchors</t>
        </is>
      </c>
    </row>
    <row r="5">
      <c r="A5" t="inlineStr">
        <is>
          <t>4.2</t>
        </is>
      </c>
      <c r="B5" s="2" t="inlineStr">
        <is>
          <t>Wall plate fixings - M12 anchors into the ICF core @ 1,200 + washers</t>
        </is>
      </c>
      <c r="C5" s="8" t="n">
        <v>13</v>
      </c>
      <c r="D5" t="inlineStr">
        <is>
          <t>nr</t>
        </is>
      </c>
      <c r="E5" s="8" t="n">
        <v>3.2</v>
      </c>
      <c r="F5" s="8" t="n">
        <v>5.1</v>
      </c>
      <c r="G5" s="6">
        <f>C5*E5</f>
        <v/>
      </c>
      <c r="H5" s="6">
        <f>C5*F5</f>
        <v/>
      </c>
      <c r="I5" s="6">
        <f>G5+H5</f>
        <v/>
      </c>
      <c r="J5" t="inlineStr">
        <is>
          <t>MKT M12 anchor / resin stud into the ICF core @ 1,200 + washer</t>
        </is>
      </c>
    </row>
    <row r="6">
      <c r="A6" t="inlineStr">
        <is>
          <t>4.3</t>
        </is>
      </c>
      <c r="B6" s="2" t="inlineStr">
        <is>
          <t>Trussed rafters (fink) @600, span 6.48 m</t>
        </is>
      </c>
      <c r="C6" s="8" t="n">
        <v>10</v>
      </c>
      <c r="D6" t="inlineStr">
        <is>
          <t>nr</t>
        </is>
      </c>
      <c r="E6" s="8" t="n">
        <v>174.15</v>
      </c>
      <c r="F6" s="8" t="n">
        <v>25.5</v>
      </c>
      <c r="G6" s="6">
        <f>C6*E6</f>
        <v/>
      </c>
      <c r="H6" s="6">
        <f>C6*F6</f>
        <v/>
      </c>
      <c r="I6" s="6">
        <f>G6+H6</f>
        <v/>
      </c>
      <c r="J6" t="inlineStr">
        <is>
          <t>TLS 38 + 21/m span (mat computed per type)</t>
        </is>
      </c>
    </row>
    <row r="7">
      <c r="A7" t="inlineStr">
        <is>
          <t>4.4</t>
        </is>
      </c>
      <c r="B7" s="2" t="inlineStr">
        <is>
          <t>Binders + diagonal bracing 25 x 100</t>
        </is>
      </c>
      <c r="C7" s="8" t="n">
        <v>37.09</v>
      </c>
      <c r="D7" t="inlineStr">
        <is>
          <t>m</t>
        </is>
      </c>
      <c r="E7" s="8" t="n">
        <v>1.35</v>
      </c>
      <c r="F7" s="8" t="n">
        <v>2.72</v>
      </c>
      <c r="G7" s="6">
        <f>C7*E7</f>
        <v/>
      </c>
      <c r="H7" s="6">
        <f>C7*F7</f>
        <v/>
      </c>
      <c r="I7" s="6">
        <f>G7+H7</f>
        <v/>
      </c>
      <c r="J7" t="inlineStr">
        <is>
          <t>TLS 25x100 binders + diagonal bracing</t>
        </is>
      </c>
    </row>
    <row r="8">
      <c r="A8" t="inlineStr">
        <is>
          <t>4.5</t>
        </is>
      </c>
      <c r="B8" s="2" t="inlineStr">
        <is>
          <t>Truss clips to the wall plate (2 per truss)</t>
        </is>
      </c>
      <c r="C8" s="8" t="n">
        <v>20</v>
      </c>
      <c r="D8" t="inlineStr">
        <is>
          <t>nr</t>
        </is>
      </c>
      <c r="E8" s="8" t="n">
        <v>1.1</v>
      </c>
      <c r="F8" s="8" t="n">
        <v>2.72</v>
      </c>
      <c r="G8" s="6">
        <f>C8*E8</f>
        <v/>
      </c>
      <c r="H8" s="6">
        <f>C8*F8</f>
        <v/>
      </c>
      <c r="I8" s="6">
        <f>G8+H8</f>
        <v/>
      </c>
      <c r="J8" t="inlineStr">
        <is>
          <t>MKT truss clip to the wall plate</t>
        </is>
      </c>
    </row>
    <row r="9">
      <c r="A9" t="inlineStr">
        <is>
          <t>4.6</t>
        </is>
      </c>
      <c r="B9" s="2" t="inlineStr">
        <is>
          <t>Twist / holding-down straps (2 per truss)</t>
        </is>
      </c>
      <c r="C9" s="8" t="n">
        <v>20</v>
      </c>
      <c r="D9" t="inlineStr">
        <is>
          <t>nr</t>
        </is>
      </c>
      <c r="E9" s="8" t="n">
        <v>1.4</v>
      </c>
      <c r="F9" s="8" t="n">
        <v>3.4</v>
      </c>
      <c r="G9" s="6">
        <f>C9*E9</f>
        <v/>
      </c>
      <c r="H9" s="6">
        <f>C9*F9</f>
        <v/>
      </c>
      <c r="I9" s="6">
        <f>G9+H9</f>
        <v/>
      </c>
      <c r="J9" t="inlineStr">
        <is>
          <t>MKT twist / holding-down strap</t>
        </is>
      </c>
    </row>
    <row r="10">
      <c r="A10" t="inlineStr">
        <is>
          <t>4.7</t>
        </is>
      </c>
      <c r="B10" s="2" t="inlineStr">
        <is>
          <t>PROVISIONAL floors / decking - 18 P5 loft storage boards on the ceiling ties (storage-rated trusses)</t>
        </is>
      </c>
      <c r="C10" s="8" t="n">
        <v>16.27</v>
      </c>
      <c r="D10" t="inlineStr">
        <is>
          <t>m2</t>
        </is>
      </c>
      <c r="E10" s="8" t="n">
        <v>9.5</v>
      </c>
      <c r="F10" s="8" t="n">
        <v>8.5</v>
      </c>
      <c r="G10" s="6">
        <f>C10*E10</f>
        <v/>
      </c>
      <c r="H10" s="6">
        <f>C10*F10</f>
        <v/>
      </c>
      <c r="I10" s="6">
        <f>G10+H10</f>
        <v/>
      </c>
      <c r="J10" t="inlineStr">
        <is>
          <t>MKT 18 P5 loft boards (PROVISIONAL - storage trusses)</t>
        </is>
      </c>
    </row>
    <row r="11">
      <c r="A11" t="inlineStr">
        <is>
          <t>4.8</t>
        </is>
      </c>
      <c r="B11" s="2" t="inlineStr">
        <is>
          <t>PROVISIONAL - 47 x 72 noggins under the board edges</t>
        </is>
      </c>
      <c r="C11" s="8" t="n">
        <v>27.12</v>
      </c>
      <c r="D11" t="inlineStr">
        <is>
          <t>m</t>
        </is>
      </c>
      <c r="E11" s="8" t="n">
        <v>1.9</v>
      </c>
      <c r="F11" s="8" t="n">
        <v>3.4</v>
      </c>
      <c r="G11" s="6">
        <f>C11*E11</f>
        <v/>
      </c>
      <c r="H11" s="6">
        <f>C11*F11</f>
        <v/>
      </c>
      <c r="I11" s="6">
        <f>G11+H11</f>
        <v/>
      </c>
      <c r="J11" t="inlineStr">
        <is>
          <t>MKT 47 x 72 C16 noggins</t>
        </is>
      </c>
    </row>
    <row r="12">
      <c r="A12" t="inlineStr">
        <is>
          <t>4.9</t>
        </is>
      </c>
      <c r="B12" s="2" t="inlineStr">
        <is>
          <t>PROVISIONAL - deck screws</t>
        </is>
      </c>
      <c r="C12" s="8" t="n">
        <v>16.27</v>
      </c>
      <c r="D12" t="inlineStr">
        <is>
          <t>m2</t>
        </is>
      </c>
      <c r="E12" s="8" t="n">
        <v>0.6</v>
      </c>
      <c r="F12" s="8" t="n">
        <v>0</v>
      </c>
      <c r="G12" s="6">
        <f>C12*E12</f>
        <v/>
      </c>
      <c r="H12" s="6">
        <f>C12*F12</f>
        <v/>
      </c>
      <c r="I12" s="6">
        <f>G12+H12</f>
        <v/>
      </c>
      <c r="J12" t="inlineStr">
        <is>
          <t>MKT deck screws</t>
        </is>
      </c>
    </row>
    <row r="13">
      <c r="A13" t="inlineStr">
        <is>
          <t>4.10</t>
        </is>
      </c>
      <c r="B13" s="2" t="inlineStr">
        <is>
          <t>PROVISIONAL - insulated loft hatch + folding ladder</t>
        </is>
      </c>
      <c r="C13" s="8" t="n">
        <v>1</v>
      </c>
      <c r="D13" t="inlineStr">
        <is>
          <t>nr</t>
        </is>
      </c>
      <c r="E13" s="8" t="n">
        <v>185</v>
      </c>
      <c r="F13" s="8" t="n">
        <v>68</v>
      </c>
      <c r="G13" s="6">
        <f>C13*E13</f>
        <v/>
      </c>
      <c r="H13" s="6">
        <f>C13*F13</f>
        <v/>
      </c>
      <c r="I13" s="6">
        <f>G13+H13</f>
        <v/>
      </c>
      <c r="J13" t="inlineStr">
        <is>
          <t>MKT insulated loft hatch + folding ladder (PROVISIONAL)</t>
        </is>
      </c>
    </row>
    <row r="14">
      <c r="A14" t="inlineStr">
        <is>
          <t>4.11</t>
        </is>
      </c>
      <c r="B14" s="2" t="inlineStr">
        <is>
          <t>Gable ladders (barge, rails, outriggers 47 x 72)</t>
        </is>
      </c>
      <c r="C14" s="8" t="n">
        <v>44.87</v>
      </c>
      <c r="D14" t="inlineStr">
        <is>
          <t>m</t>
        </is>
      </c>
      <c r="E14" s="8" t="n">
        <v>1.35</v>
      </c>
      <c r="F14" s="8" t="n">
        <v>2.72</v>
      </c>
      <c r="G14" s="6">
        <f>C14*E14</f>
        <v/>
      </c>
      <c r="H14" s="6">
        <f>C14*F14</f>
        <v/>
      </c>
      <c r="I14" s="6">
        <f>G14+H14</f>
        <v/>
      </c>
      <c r="J14" t="inlineStr">
        <is>
          <t>TLS 25x100 binders + diagonal bracing</t>
        </is>
      </c>
    </row>
    <row r="15">
      <c r="A15" t="inlineStr">
        <is>
          <t>4.12</t>
        </is>
      </c>
      <c r="B15" s="2" t="inlineStr">
        <is>
          <t>Gable lateral restraint straps @ 2 m to the trusses / rafters (both gables)</t>
        </is>
      </c>
      <c r="C15" s="8" t="n">
        <v>8</v>
      </c>
      <c r="D15" t="inlineStr">
        <is>
          <t>nr</t>
        </is>
      </c>
      <c r="E15" s="8" t="n">
        <v>4.5</v>
      </c>
      <c r="F15" s="8" t="n">
        <v>6.8</v>
      </c>
      <c r="G15" s="6">
        <f>C15*E15</f>
        <v/>
      </c>
      <c r="H15" s="6">
        <f>C15*F15</f>
        <v/>
      </c>
      <c r="I15" s="6">
        <f>G15+H15</f>
        <v/>
      </c>
      <c r="J15" t="inlineStr">
        <is>
          <t>MKT galv lateral restraint strap 30 x 5 x 1000 (BS EN 845-1)</t>
        </is>
      </c>
    </row>
    <row r="16">
      <c r="A16" t="inlineStr">
        <is>
          <t>4.13</t>
        </is>
      </c>
      <c r="B16" s="2" t="inlineStr">
        <is>
          <t>Carpentry sundries - nails, screws, framing anchors</t>
        </is>
      </c>
      <c r="C16" s="8" t="n">
        <v>1</v>
      </c>
      <c r="D16" t="inlineStr">
        <is>
          <t>item</t>
        </is>
      </c>
      <c r="E16" s="8" t="n">
        <v>45</v>
      </c>
      <c r="F16" s="8" t="n">
        <v>0</v>
      </c>
      <c r="G16" s="6">
        <f>C16*E16</f>
        <v/>
      </c>
      <c r="H16" s="6">
        <f>C16*F16</f>
        <v/>
      </c>
      <c r="I16" s="6">
        <f>G16+H16</f>
        <v/>
      </c>
      <c r="J16" t="inlineStr">
        <is>
          <t>MKT nails, screws, framing anchors</t>
        </is>
      </c>
    </row>
    <row r="17">
      <c r="H17" s="4" t="inlineStr">
        <is>
          <t>Bill total</t>
        </is>
      </c>
      <c r="I17" s="7">
        <f>SUM(I4:I16)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DG-T06 Type 06 - Rendered double garage - Bill 5 - Roof coverings + rainwater goods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5.1</t>
        </is>
      </c>
      <c r="B4" s="2" t="inlineStr">
        <is>
          <t>Breathable roofing membrane (laps incl.)</t>
        </is>
      </c>
      <c r="C4" s="8" t="n">
        <v>54.8</v>
      </c>
      <c r="D4" t="inlineStr">
        <is>
          <t>m2</t>
        </is>
      </c>
      <c r="E4" s="8" t="n">
        <v>1.1</v>
      </c>
      <c r="F4" s="8" t="n">
        <v>1.02</v>
      </c>
      <c r="G4" s="6">
        <f>C4*E4</f>
        <v/>
      </c>
      <c r="H4" s="6">
        <f>C4*F4</f>
        <v/>
      </c>
      <c r="I4" s="6">
        <f>G4+H4</f>
        <v/>
      </c>
      <c r="J4" t="inlineStr">
        <is>
          <t>TLS breather membrane</t>
        </is>
      </c>
    </row>
    <row r="5">
      <c r="A5" t="inlineStr">
        <is>
          <t>5.2</t>
        </is>
      </c>
      <c r="B5" s="2" t="inlineStr">
        <is>
          <t>Treated battens 25 x 50 @ 345 gauge</t>
        </is>
      </c>
      <c r="C5" s="8" t="n">
        <v>168.4</v>
      </c>
      <c r="D5" t="inlineStr">
        <is>
          <t>m</t>
        </is>
      </c>
      <c r="E5" s="8" t="n">
        <v>0.85</v>
      </c>
      <c r="F5" s="8" t="n">
        <v>0.68</v>
      </c>
      <c r="G5" s="6">
        <f>C5*E5</f>
        <v/>
      </c>
      <c r="H5" s="6">
        <f>C5*F5</f>
        <v/>
      </c>
      <c r="I5" s="6">
        <f>G5+H5</f>
        <v/>
      </c>
      <c r="J5" t="inlineStr">
        <is>
          <t>TLS 25x50 treated</t>
        </is>
      </c>
    </row>
    <row r="6">
      <c r="A6" t="inlineStr">
        <is>
          <t>5.3</t>
        </is>
      </c>
      <c r="B6" s="2" t="inlineStr">
        <is>
          <t>Marley Modern smooth grey tiles (drawn: 484, +3% breakage)</t>
        </is>
      </c>
      <c r="C6" s="8" t="n">
        <v>499</v>
      </c>
      <c r="D6" t="inlineStr">
        <is>
          <t>nr</t>
        </is>
      </c>
      <c r="E6" s="8" t="n">
        <v>1.48</v>
      </c>
      <c r="F6" s="8" t="n">
        <v>1.19</v>
      </c>
      <c r="G6" s="6">
        <f>C6*E6</f>
        <v/>
      </c>
      <c r="H6" s="6">
        <f>C6*F6</f>
        <v/>
      </c>
      <c r="I6" s="6">
        <f>G6+H6</f>
        <v/>
      </c>
      <c r="J6" t="inlineStr">
        <is>
          <t>WEB Marley Modern smooth grey ex VAT; ~0.37 h/m2 roofer</t>
        </is>
      </c>
    </row>
    <row r="7">
      <c r="A7" t="inlineStr">
        <is>
          <t>5.4</t>
        </is>
      </c>
      <c r="B7" s="2" t="inlineStr">
        <is>
          <t>Dry ridge + half-round ridge tiles (15 drawn)</t>
        </is>
      </c>
      <c r="C7" s="8" t="n">
        <v>6.38</v>
      </c>
      <c r="D7" t="inlineStr">
        <is>
          <t>m</t>
        </is>
      </c>
      <c r="E7" s="8" t="n">
        <v>24</v>
      </c>
      <c r="F7" s="8" t="n">
        <v>11.9</v>
      </c>
      <c r="G7" s="6">
        <f>C7*E7</f>
        <v/>
      </c>
      <c r="H7" s="6">
        <f>C7*F7</f>
        <v/>
      </c>
      <c r="I7" s="6">
        <f>G7+H7</f>
        <v/>
      </c>
      <c r="J7" t="inlineStr">
        <is>
          <t>MKT dry ridge kit + half-round ridge tiles</t>
        </is>
      </c>
    </row>
    <row r="8">
      <c r="A8" t="inlineStr">
        <is>
          <t>5.5</t>
        </is>
      </c>
      <c r="B8" s="2" t="inlineStr">
        <is>
          <t>Dry verge units</t>
        </is>
      </c>
      <c r="C8" s="8" t="n">
        <v>14.96</v>
      </c>
      <c r="D8" t="inlineStr">
        <is>
          <t>m</t>
        </is>
      </c>
      <c r="E8" s="8" t="n">
        <v>14</v>
      </c>
      <c r="F8" s="8" t="n">
        <v>6.8</v>
      </c>
      <c r="G8" s="6">
        <f>C8*E8</f>
        <v/>
      </c>
      <c r="H8" s="6">
        <f>C8*F8</f>
        <v/>
      </c>
      <c r="I8" s="6">
        <f>G8+H8</f>
        <v/>
      </c>
      <c r="J8" t="inlineStr">
        <is>
          <t>MKT dry verge units</t>
        </is>
      </c>
    </row>
    <row r="9">
      <c r="A9" t="inlineStr">
        <is>
          <t>5.6</t>
        </is>
      </c>
      <c r="B9" s="2" t="inlineStr">
        <is>
          <t>uPVC fascia 22 x 200 + vented soffit</t>
        </is>
      </c>
      <c r="C9" s="8" t="n">
        <v>12.75</v>
      </c>
      <c r="D9" t="inlineStr">
        <is>
          <t>m</t>
        </is>
      </c>
      <c r="E9" s="8" t="n">
        <v>16</v>
      </c>
      <c r="F9" s="8" t="n">
        <v>11.9</v>
      </c>
      <c r="G9" s="6">
        <f>C9*E9</f>
        <v/>
      </c>
      <c r="H9" s="6">
        <f>C9*F9</f>
        <v/>
      </c>
      <c r="I9" s="6">
        <f>G9+H9</f>
        <v/>
      </c>
      <c r="J9" t="inlineStr">
        <is>
          <t>TLS uPVC fascia / soffit</t>
        </is>
      </c>
    </row>
    <row r="10">
      <c r="A10" t="inlineStr">
        <is>
          <t>5.7</t>
        </is>
      </c>
      <c r="B10" s="2" t="inlineStr">
        <is>
          <t>uPVC barge boards 22 x 225</t>
        </is>
      </c>
      <c r="C10" s="8" t="n">
        <v>14.96</v>
      </c>
      <c r="D10" t="inlineStr">
        <is>
          <t>m</t>
        </is>
      </c>
      <c r="E10" s="8" t="n">
        <v>14</v>
      </c>
      <c r="F10" s="8" t="n">
        <v>10.2</v>
      </c>
      <c r="G10" s="6">
        <f>C10*E10</f>
        <v/>
      </c>
      <c r="H10" s="6">
        <f>C10*F10</f>
        <v/>
      </c>
      <c r="I10" s="6">
        <f>G10+H10</f>
        <v/>
      </c>
      <c r="J10" t="inlineStr">
        <is>
          <t>TLS uPVC barge board</t>
        </is>
      </c>
    </row>
    <row r="11">
      <c r="A11" t="inlineStr">
        <is>
          <t>5.8</t>
        </is>
      </c>
      <c r="B11" s="2" t="inlineStr">
        <is>
          <t>Half-round gutter 112 black + fittings</t>
        </is>
      </c>
      <c r="C11" s="8" t="n">
        <v>12.75</v>
      </c>
      <c r="D11" t="inlineStr">
        <is>
          <t>m</t>
        </is>
      </c>
      <c r="E11" s="8" t="n">
        <v>11</v>
      </c>
      <c r="F11" s="8" t="n">
        <v>6.8</v>
      </c>
      <c r="G11" s="6">
        <f>C11*E11</f>
        <v/>
      </c>
      <c r="H11" s="6">
        <f>C11*F11</f>
        <v/>
      </c>
      <c r="I11" s="6">
        <f>G11+H11</f>
        <v/>
      </c>
      <c r="J11" t="inlineStr">
        <is>
          <t>TLS half-round gutter + brackets</t>
        </is>
      </c>
    </row>
    <row r="12">
      <c r="A12" t="inlineStr">
        <is>
          <t>5.9</t>
        </is>
      </c>
      <c r="B12" s="2" t="inlineStr">
        <is>
          <t>Downpipe sets 68 round black: swan neck to the outlet, clipped to the side wall (6 clips), shoe</t>
        </is>
      </c>
      <c r="C12" s="8" t="n">
        <v>2</v>
      </c>
      <c r="D12" t="inlineStr">
        <is>
          <t>nr</t>
        </is>
      </c>
      <c r="E12" s="8" t="n">
        <v>38</v>
      </c>
      <c r="F12" s="8" t="n">
        <v>34</v>
      </c>
      <c r="G12" s="6">
        <f>C12*E12</f>
        <v/>
      </c>
      <c r="H12" s="6">
        <f>C12*F12</f>
        <v/>
      </c>
      <c r="I12" s="6">
        <f>G12+H12</f>
        <v/>
      </c>
      <c r="J12" t="inlineStr">
        <is>
          <t>TLS downpipe set</t>
        </is>
      </c>
    </row>
    <row r="13">
      <c r="H13" s="4" t="inlineStr">
        <is>
          <t>Bill total</t>
        </is>
      </c>
      <c r="I13" s="7">
        <f>SUM(I4:I12)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DG-T06 Type 06 - Rendered double garage - Bill 6 - External wall finish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6.1</t>
        </is>
      </c>
      <c r="B4" s="2" t="inlineStr">
        <is>
          <t>Dryvit Primus M base coat 25 kg</t>
        </is>
      </c>
      <c r="C4" s="8" t="n">
        <v>3</v>
      </c>
      <c r="D4" t="inlineStr">
        <is>
          <t>pail</t>
        </is>
      </c>
      <c r="E4" s="8" t="n">
        <v>23.18</v>
      </c>
      <c r="F4" s="8" t="n">
        <v>0</v>
      </c>
      <c r="G4" s="6">
        <f>C4*E4</f>
        <v/>
      </c>
      <c r="H4" s="6">
        <f>C4*F4</f>
        <v/>
      </c>
      <c r="I4" s="6">
        <f>G4+H4</f>
        <v/>
      </c>
      <c r="J4" t="inlineStr">
        <is>
          <t>SAP PRIMUS M 25 kg</t>
        </is>
      </c>
    </row>
    <row r="5">
      <c r="A5" t="inlineStr">
        <is>
          <t>6.2</t>
        </is>
      </c>
      <c r="B5" s="2" t="inlineStr">
        <is>
          <t>Dryvit Standard Plus mesh (laps incl.)</t>
        </is>
      </c>
      <c r="C5" s="8" t="n">
        <v>60.77</v>
      </c>
      <c r="D5" t="inlineStr">
        <is>
          <t>m2</t>
        </is>
      </c>
      <c r="E5" s="8" t="n">
        <v>1.33</v>
      </c>
      <c r="F5" s="8" t="n">
        <v>0</v>
      </c>
      <c r="G5" s="6">
        <f>C5*E5</f>
        <v/>
      </c>
      <c r="H5" s="6">
        <f>C5*F5</f>
        <v/>
      </c>
      <c r="I5" s="6">
        <f>G5+H5</f>
        <v/>
      </c>
      <c r="J5" t="inlineStr">
        <is>
          <t>SAP Standard Plus mesh 50 m2 roll 66.73</t>
        </is>
      </c>
    </row>
    <row r="6">
      <c r="A6" t="inlineStr">
        <is>
          <t>6.3</t>
        </is>
      </c>
      <c r="B6" s="2" t="inlineStr">
        <is>
          <t>Dryvit Color Prime Plus 4 gal</t>
        </is>
      </c>
      <c r="C6" s="8" t="n">
        <v>3</v>
      </c>
      <c r="D6" t="inlineStr">
        <is>
          <t>pail</t>
        </is>
      </c>
      <c r="E6" s="8" t="n">
        <v>51.79</v>
      </c>
      <c r="F6" s="8" t="n">
        <v>0</v>
      </c>
      <c r="G6" s="6">
        <f>C6*E6</f>
        <v/>
      </c>
      <c r="H6" s="6">
        <f>C6*F6</f>
        <v/>
      </c>
      <c r="I6" s="6">
        <f>G6+H6</f>
        <v/>
      </c>
      <c r="J6" t="inlineStr">
        <is>
          <t>SAP Color Prime Plus 4 gal</t>
        </is>
      </c>
    </row>
    <row r="7">
      <c r="A7" t="inlineStr">
        <is>
          <t>6.4</t>
        </is>
      </c>
      <c r="B7" s="2" t="inlineStr">
        <is>
          <t>Dryvit PMR Sandpebble finish 24.72 kg</t>
        </is>
      </c>
      <c r="C7" s="8" t="n">
        <v>5</v>
      </c>
      <c r="D7" t="inlineStr">
        <is>
          <t>pail</t>
        </is>
      </c>
      <c r="E7" s="8" t="n">
        <v>59.9</v>
      </c>
      <c r="F7" s="8" t="n">
        <v>0</v>
      </c>
      <c r="G7" s="6">
        <f>C7*E7</f>
        <v/>
      </c>
      <c r="H7" s="6">
        <f>C7*F7</f>
        <v/>
      </c>
      <c r="I7" s="6">
        <f>G7+H7</f>
        <v/>
      </c>
      <c r="J7" t="inlineStr">
        <is>
          <t>SAP PMR Sandpebble 24.72 kg</t>
        </is>
      </c>
    </row>
    <row r="8">
      <c r="A8" t="inlineStr">
        <is>
          <t>6.5</t>
        </is>
      </c>
      <c r="B8" s="2" t="inlineStr">
        <is>
          <t>Apply Dryvit 500 (base + mesh + prime + finish)</t>
        </is>
      </c>
      <c r="C8" s="8" t="n">
        <v>52.84</v>
      </c>
      <c r="D8" t="inlineStr">
        <is>
          <t>m2</t>
        </is>
      </c>
      <c r="E8" s="8" t="n">
        <v>0</v>
      </c>
      <c r="F8" s="8" t="n">
        <v>25.5</v>
      </c>
      <c r="G8" s="6">
        <f>C8*E8</f>
        <v/>
      </c>
      <c r="H8" s="6">
        <f>C8*F8</f>
        <v/>
      </c>
      <c r="I8" s="6">
        <f>G8+H8</f>
        <v/>
      </c>
      <c r="J8" t="inlineStr">
        <is>
          <t>NGR Dryvit 0.75 h/m2</t>
        </is>
      </c>
    </row>
    <row r="9">
      <c r="A9" t="inlineStr">
        <is>
          <t>6.6</t>
        </is>
      </c>
      <c r="B9" s="2" t="inlineStr">
        <is>
          <t>Dryvit beads (base, corner, stop, reveal)</t>
        </is>
      </c>
      <c r="C9" s="8" t="n">
        <v>96.5</v>
      </c>
      <c r="D9" t="inlineStr">
        <is>
          <t>m</t>
        </is>
      </c>
      <c r="E9" s="8" t="n">
        <v>1.3</v>
      </c>
      <c r="F9" s="8" t="n">
        <v>1.7</v>
      </c>
      <c r="G9" s="6">
        <f>C9*E9</f>
        <v/>
      </c>
      <c r="H9" s="6">
        <f>C9*F9</f>
        <v/>
      </c>
      <c r="I9" s="6">
        <f>G9+H9</f>
        <v/>
      </c>
      <c r="J9" t="inlineStr">
        <is>
          <t>SAP corner / stop / bellcast beads per 2.5 m (2.16-3.31)</t>
        </is>
      </c>
    </row>
    <row r="10">
      <c r="H10" s="4" t="inlineStr">
        <is>
          <t>Bill total</t>
        </is>
      </c>
      <c r="I10" s="7">
        <f>SUM(I4:I9)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DG-T06 Type 06 - Rendered double garage - Bill 7 - Opening schedule (doors + windows)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7.1</t>
        </is>
      </c>
      <c r="B4" s="2" t="inlineStr">
        <is>
          <t>L1-D01 Electric insulated roller garage door 4,800 x 2,286 S.O., RAL 7016: 77 slats, box behind the lintel course, guides, tubular motor, 2 remotes, manual override, brush seals</t>
        </is>
      </c>
      <c r="C4" s="8" t="n">
        <v>1</v>
      </c>
      <c r="D4" t="inlineStr">
        <is>
          <t>nr</t>
        </is>
      </c>
      <c r="E4" s="8" t="n">
        <v>2461.25</v>
      </c>
      <c r="F4" s="8" t="n">
        <v>272</v>
      </c>
      <c r="G4" s="6">
        <f>C4*E4</f>
        <v/>
      </c>
      <c r="H4" s="6">
        <f>C4*F4</f>
        <v/>
      </c>
      <c r="I4" s="6">
        <f>G4+H4</f>
        <v/>
      </c>
      <c r="J4" t="inlineStr">
        <is>
          <t>MKT electric insulated roller door 4.8 x 2.3; accessories GBP 11.25 incl.</t>
        </is>
      </c>
    </row>
    <row r="5">
      <c r="A5" t="inlineStr">
        <is>
          <t>7.2</t>
        </is>
      </c>
      <c r="B5" s="2" t="inlineStr">
        <is>
          <t>L1-D02 Composite personnel door 900 x 2,286 S.O.: frame, fixed overpanel, multipoint lock, lever handles, low threshold; illbruck ME110 internal membrane (5.5 m) + sealant</t>
        </is>
      </c>
      <c r="C5" s="8" t="n">
        <v>1</v>
      </c>
      <c r="D5" t="inlineStr">
        <is>
          <t>nr</t>
        </is>
      </c>
      <c r="E5" s="8" t="n">
        <v>1067.94</v>
      </c>
      <c r="F5" s="8" t="n">
        <v>184.96</v>
      </c>
      <c r="G5" s="6">
        <f>C5*E5</f>
        <v/>
      </c>
      <c r="H5" s="6">
        <f>C5*F5</f>
        <v/>
      </c>
      <c r="I5" s="6">
        <f>G5+H5</f>
        <v/>
      </c>
      <c r="J5" t="inlineStr">
        <is>
          <t>NGR single door (composite + overpanel); accessories GBP 17.94 incl.</t>
        </is>
      </c>
    </row>
    <row r="6">
      <c r="A6" t="inlineStr">
        <is>
          <t>7.3</t>
        </is>
      </c>
      <c r="B6" s="2" t="inlineStr">
        <is>
          <t>L1-W01 Alu-clad timber window 1,200 x 914 S.O., RAL 7016, DGU, trickle vent, handles, aluminium cill; illbruck ME110 internal membrane (4.2 m) + sealant</t>
        </is>
      </c>
      <c r="C6" s="8" t="n">
        <v>1</v>
      </c>
      <c r="D6" t="inlineStr">
        <is>
          <t>nr</t>
        </is>
      </c>
      <c r="E6" s="8" t="n">
        <v>753.29</v>
      </c>
      <c r="F6" s="8" t="n">
        <v>113.56</v>
      </c>
      <c r="G6" s="6">
        <f>C6*E6</f>
        <v/>
      </c>
      <c r="H6" s="6">
        <f>C6*F6</f>
        <v/>
      </c>
      <c r="I6" s="6">
        <f>G6+H6</f>
        <v/>
      </c>
      <c r="J6" t="inlineStr">
        <is>
          <t>NGR 280 per window + 420/m2 (base on the window line); accessories GBP 12.43 incl.</t>
        </is>
      </c>
    </row>
    <row r="7">
      <c r="A7" t="inlineStr">
        <is>
          <t>7.4</t>
        </is>
      </c>
      <c r="B7" s="2" t="inlineStr">
        <is>
          <t>L1-W02 Alu-clad timber window 1,200 x 914 S.O., RAL 7016, DGU, trickle vent, handles, aluminium cill; illbruck ME110 internal membrane (4.2 m) + sealant</t>
        </is>
      </c>
      <c r="C7" s="8" t="n">
        <v>1</v>
      </c>
      <c r="D7" t="inlineStr">
        <is>
          <t>nr</t>
        </is>
      </c>
      <c r="E7" s="8" t="n">
        <v>753.29</v>
      </c>
      <c r="F7" s="8" t="n">
        <v>113.56</v>
      </c>
      <c r="G7" s="6">
        <f>C7*E7</f>
        <v/>
      </c>
      <c r="H7" s="6">
        <f>C7*F7</f>
        <v/>
      </c>
      <c r="I7" s="6">
        <f>G7+H7</f>
        <v/>
      </c>
      <c r="J7" t="inlineStr">
        <is>
          <t>NGR 280 per window + 420/m2 (base on the window line); accessories GBP 12.43 incl.</t>
        </is>
      </c>
    </row>
    <row r="8">
      <c r="H8" s="4" t="inlineStr">
        <is>
          <t>Bill total</t>
        </is>
      </c>
      <c r="I8" s="7">
        <f>SUM(I4:I7)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DG-T06 Type 06 - Rendered double garage - Bill 8 - Electrical installation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8.1</t>
        </is>
      </c>
      <c r="B4" s="2" t="inlineStr">
        <is>
          <t>4 double sockets + 4 LED battens, sub-board, short feed, test + cert</t>
        </is>
      </c>
      <c r="C4" s="8" t="n">
        <v>1</v>
      </c>
      <c r="D4" t="inlineStr">
        <is>
          <t>item</t>
        </is>
      </c>
      <c r="E4" s="8" t="n">
        <v>760</v>
      </c>
      <c r="F4" s="8" t="n">
        <v>680</v>
      </c>
      <c r="G4" s="6">
        <f>C4*E4</f>
        <v/>
      </c>
      <c r="H4" s="6">
        <f>C4*F4</f>
        <v/>
      </c>
      <c r="I4" s="6">
        <f>G4+H4</f>
        <v/>
      </c>
      <c r="J4" t="inlineStr">
        <is>
          <t>TLS / MKT 4 + 4</t>
        </is>
      </c>
    </row>
    <row r="5">
      <c r="H5" s="4" t="inlineStr">
        <is>
          <t>Bill total</t>
        </is>
      </c>
      <c r="I5" s="7">
        <f>SUM(I4:I4)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DG-T06 Type 06 - Rendered double garage - Bill 9 - Design + approvals (provisional)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9.1</t>
        </is>
      </c>
      <c r="B4" s="2" t="inlineStr">
        <is>
          <t>Building control (provisional)</t>
        </is>
      </c>
      <c r="C4" s="8" t="n">
        <v>1</v>
      </c>
      <c r="D4" t="inlineStr">
        <is>
          <t>item</t>
        </is>
      </c>
      <c r="E4" s="8" t="n">
        <v>650</v>
      </c>
      <c r="F4" s="8" t="n">
        <v>0</v>
      </c>
      <c r="G4" s="6">
        <f>C4*E4</f>
        <v/>
      </c>
      <c r="H4" s="6">
        <f>C4*F4</f>
        <v/>
      </c>
      <c r="I4" s="6">
        <f>G4+H4</f>
        <v/>
      </c>
      <c r="J4" t="inlineStr">
        <is>
          <t>Building control (LABC) - provisional</t>
        </is>
      </c>
    </row>
    <row r="5">
      <c r="A5" t="inlineStr">
        <is>
          <t>9.2</t>
        </is>
      </c>
      <c r="B5" s="2" t="inlineStr">
        <is>
          <t>Structural engineer - calcs + details (provisional)</t>
        </is>
      </c>
      <c r="C5" s="8" t="n">
        <v>1</v>
      </c>
      <c r="D5" t="inlineStr">
        <is>
          <t>item</t>
        </is>
      </c>
      <c r="E5" s="8" t="n">
        <v>850</v>
      </c>
      <c r="F5" s="8" t="n">
        <v>0</v>
      </c>
      <c r="G5" s="6">
        <f>C5*E5</f>
        <v/>
      </c>
      <c r="H5" s="6">
        <f>C5*F5</f>
        <v/>
      </c>
      <c r="I5" s="6">
        <f>G5+H5</f>
        <v/>
      </c>
      <c r="J5" t="inlineStr">
        <is>
          <t>Structural engineer calcs - provisional</t>
        </is>
      </c>
    </row>
    <row r="6">
      <c r="A6" t="inlineStr">
        <is>
          <t>9.3</t>
        </is>
      </c>
      <c r="B6" s="2" t="inlineStr">
        <is>
          <t>Drawings / lawful development certificate (provisional)</t>
        </is>
      </c>
      <c r="C6" s="8" t="n">
        <v>1</v>
      </c>
      <c r="D6" t="inlineStr">
        <is>
          <t>item</t>
        </is>
      </c>
      <c r="E6" s="8" t="n">
        <v>1250</v>
      </c>
      <c r="F6" s="8" t="n">
        <v>0</v>
      </c>
      <c r="G6" s="6">
        <f>C6*E6</f>
        <v/>
      </c>
      <c r="H6" s="6">
        <f>C6*F6</f>
        <v/>
      </c>
      <c r="I6" s="6">
        <f>G6+H6</f>
        <v/>
      </c>
      <c r="J6" t="inlineStr">
        <is>
          <t>Drawings / PD certificate / planning - provisional</t>
        </is>
      </c>
    </row>
    <row r="7">
      <c r="H7" s="4" t="inlineStr">
        <is>
          <t>Bill total</t>
        </is>
      </c>
      <c r="I7" s="7">
        <f>SUM(I4:I6)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2026-10-29T15:03:34Z</dcterms:created>
  <dcterms:modified xmlns:dcterms="http://purl.org/dc/terms/" xmlns:xsi="http://www.w3.org/2001/XMLSchema-instance" xsi:type="dcterms:W3CDTF">2026-10-29T15:03:34Z</dcterms:modified>
</cp:coreProperties>
</file>